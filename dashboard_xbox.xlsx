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dos" sheetId="2" state="visible" r:id="rId4"/>
    <sheet name="Resumo" sheetId="3" state="visible" r:id="rId5"/>
  </sheets>
  <definedNames>
    <definedName function="false" hidden="false" localSheetId="0" name="_xlnm.Print_Area" vbProcedure="false">Dashboard!$A$1:$J$46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<sst xmlns="http://schemas.openxmlformats.org/spreadsheetml/2006/main" count="1017" uniqueCount="59">
  <si>
    <t xml:space="preserve">  XBOX  ·  DASHBOARD DE VENDAS 2025</t>
  </si>
  <si>
    <t xml:space="preserve">  Organização e visualização de dados de vendas do console Xbox</t>
  </si>
  <si>
    <t xml:space="preserve">FATURAMENTO TOTAL</t>
  </si>
  <si>
    <t xml:space="preserve">QUANTIDADE VENDIDA</t>
  </si>
  <si>
    <t xml:space="preserve">TICKET MÉDIO</t>
  </si>
  <si>
    <t xml:space="preserve">CATEGORIA LÍDER</t>
  </si>
  <si>
    <t xml:space="preserve">  VENDAS POR CATEGORIA</t>
  </si>
  <si>
    <t xml:space="preserve">  VENDAS POR REGIÃO</t>
  </si>
  <si>
    <t xml:space="preserve">  EVOLUÇÃO MENSAL DE VENDAS</t>
  </si>
  <si>
    <t xml:space="preserve">  TOP PRODUTOS (QUANTIDADE)</t>
  </si>
  <si>
    <t xml:space="preserve">Fonte: base de dados de vendas (aba 'Dados'). Valores calculados por fórmulas (SUMIFS/INDEX/MATCH) — atualizam automaticamente se os dados mudarem.</t>
  </si>
  <si>
    <t xml:space="preserve">Data</t>
  </si>
  <si>
    <t xml:space="preserve">Categoria</t>
  </si>
  <si>
    <t xml:space="preserve">Produto</t>
  </si>
  <si>
    <t xml:space="preserve">Região</t>
  </si>
  <si>
    <t xml:space="preserve">Quantidade</t>
  </si>
  <si>
    <t xml:space="preserve">Preço Unitário (R$)</t>
  </si>
  <si>
    <t xml:space="preserve">Total (R$)</t>
  </si>
  <si>
    <t xml:space="preserve">Mês</t>
  </si>
  <si>
    <t xml:space="preserve">Jogo</t>
  </si>
  <si>
    <t xml:space="preserve">Gears of War: E-Day</t>
  </si>
  <si>
    <t xml:space="preserve">Sudeste</t>
  </si>
  <si>
    <t xml:space="preserve">Acessório</t>
  </si>
  <si>
    <t xml:space="preserve">Carregador Duplo de Bateria</t>
  </si>
  <si>
    <t xml:space="preserve">Norte</t>
  </si>
  <si>
    <t xml:space="preserve">Forza Horizon 5</t>
  </si>
  <si>
    <t xml:space="preserve">EA Sports FC 25</t>
  </si>
  <si>
    <t xml:space="preserve">Sul</t>
  </si>
  <si>
    <t xml:space="preserve">Starfield</t>
  </si>
  <si>
    <t xml:space="preserve">Bateria Recarregável Play &amp; Charge</t>
  </si>
  <si>
    <t xml:space="preserve">Xbox Game Pass Ultimate (3 meses)</t>
  </si>
  <si>
    <t xml:space="preserve">Call of Duty: Black Ops 6</t>
  </si>
  <si>
    <t xml:space="preserve">Nordeste</t>
  </si>
  <si>
    <t xml:space="preserve">Headset Xbox Stereo</t>
  </si>
  <si>
    <t xml:space="preserve">Console</t>
  </si>
  <si>
    <t xml:space="preserve">Xbox Series X</t>
  </si>
  <si>
    <t xml:space="preserve">Xbox Series S</t>
  </si>
  <si>
    <t xml:space="preserve">Halo Infinite</t>
  </si>
  <si>
    <t xml:space="preserve">Centro-Oeste</t>
  </si>
  <si>
    <t xml:space="preserve">Controle Xbox Wireless</t>
  </si>
  <si>
    <t xml:space="preserve">Sea of Thieves</t>
  </si>
  <si>
    <t xml:space="preserve">Xbox One S 1TB</t>
  </si>
  <si>
    <t xml:space="preserve">Minecraft</t>
  </si>
  <si>
    <t xml:space="preserve">Vendas por Categoria</t>
  </si>
  <si>
    <t xml:space="preserve">Vendas por Região</t>
  </si>
  <si>
    <t xml:space="preserve">Vendas Mensais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</si>
  <si>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</si>
  <si>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</si>
  <si>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</si>
  <si>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</si>
  <si>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</si>
  <si>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</si>
  <si>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</si>
  <si>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</si>
  <si>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</si>
  <si>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</si>
  <si>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</si>
  <si>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</si>
  <si>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Top 6 Produtos (por Quantidade)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</si>
</sst>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#,##0&quot; un.&quot;"/>
    <numFmt numFmtId="167" formatCode="@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1"/>
      <color rgb="FFC7E8C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5A5A5A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01010"/>
      <name val="Arial"/>
      <family val="0"/>
      <charset val="1"/>
    </font>
    <font>
      <b val="true"/>
      <sz val="12"/>
      <color rgb="FF0E6E0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1010"/>
        <bgColor rgb="FF000000"/>
      </patternFill>
    </fill>
    <fill>
      <patternFill patternType="solid">
        <fgColor rgb="FF107C10"/>
        <bgColor rgb="FF0E6E0E"/>
      </patternFill>
    </fill>
    <fill>
      <patternFill patternType="solid">
        <fgColor rgb="FF0E6E0E"/>
        <bgColor rgb="FF107C1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E5C9"/>
      </left>
      <right style="thin">
        <color rgb="FFC9E5C9"/>
      </right>
      <top style="thin">
        <color rgb="FFC9E5C9"/>
      </top>
      <bottom style="thin">
        <color rgb="FFC9E5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E6E0E"/>
      <rgbColor rgb="FF9AD59A"/>
      <rgbColor rgb="FF878787"/>
      <rgbColor rgb="FF9999FF"/>
      <rgbColor rgb="FF993366"/>
      <rgbColor rgb="FFF9F9F9"/>
      <rgbColor rgb="FFC9E5C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7E8C7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5A5A"/>
      <rgbColor rgb="FF6FBE6F"/>
      <rgbColor rgb="FF003366"/>
      <rgbColor rgb="FF3A9E3A"/>
      <rgbColor rgb="FF1010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Resumo!B2</c:f>
              <c:strCache>
                <c:ptCount val="1"/>
                <c:pt idx="0">
                  <c:v>Total (R$)</c:v>
                </c:pt>
              </c:strCache>
            </c:strRef>
          </c:tx>
          <c:spPr>
            <a:solidFill>
              <a:srgbClr val="107c1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Resumo!$A$3:$A$5</c:f>
              <c:strCache>
                <c:ptCount val="3"/>
                <c:pt idx="0">
                  <c:v>Console</c:v>
                </c:pt>
                <c:pt idx="1">
                  <c:v>Jogo</c:v>
                </c:pt>
                <c:pt idx="2">
                  <c:v>Acessório</c:v>
                </c:pt>
              </c:strCache>
            </c:strRef>
          </c:cat>
          <c:val>
            <c:numRef>
              <c:f>Resumo!$B$3:$B$5</c:f>
              <c:numCache>
                <c:formatCode>"R$ "#,##0.00</c:formatCode>
                <c:ptCount val="3"/>
                <c:pt idx="0">
                  <c:v>203014.3</c:v>
                </c:pt>
                <c:pt idx="1">
                  <c:v>76268.89</c:v>
                </c:pt>
                <c:pt idx="2">
                  <c:v>45647.74</c:v>
                </c:pt>
              </c:numCache>
            </c:numRef>
          </c:val>
        </c:ser>
        <c:gapWidth val="60"/>
        <c:overlap val="0"/>
        <c:axId val="47950659"/>
        <c:axId val="56573767"/>
      </c:barChart>
      <c:catAx>
        <c:axId val="479506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73767"/>
        <c:crosses val="autoZero"/>
        <c:auto val="1"/>
        <c:lblAlgn val="ctr"/>
        <c:lblOffset val="100"/>
        <c:noMultiLvlLbl val="0"/>
      </c:catAx>
      <c:valAx>
        <c:axId val="56573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506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Resumo!B8</c:f>
              <c:strCache>
                <c:ptCount val="1"/>
                <c:pt idx="0">
                  <c:v>Total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07c1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e6e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a9e3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9ad59a"/>
              </a:solidFill>
              <a:ln w="0">
                <a:noFill/>
              </a:ln>
            </c:spPr>
          </c:dPt>
          <c:dPt>
            <c:idx val="4"/>
            <c:spPr>
              <a:solidFill>
                <a:srgbClr val="6fbe6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Resumo!$A$9:$A$13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Resumo!$B$9:$B$13</c:f>
              <c:numCache>
                <c:formatCode>"R$ "#,##0.00</c:formatCode>
                <c:ptCount val="5"/>
                <c:pt idx="0">
                  <c:v>131186.57</c:v>
                </c:pt>
                <c:pt idx="1">
                  <c:v>76075.71</c:v>
                </c:pt>
                <c:pt idx="2">
                  <c:v>68121.68</c:v>
                </c:pt>
                <c:pt idx="3">
                  <c:v>35378.27</c:v>
                </c:pt>
                <c:pt idx="4">
                  <c:v>14168.7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Resumo!B16</c:f>
              <c:strCache>
                <c:ptCount val="1"/>
                <c:pt idx="0">
                  <c:v>Total (R$)</c:v>
                </c:pt>
              </c:strCache>
            </c:strRef>
          </c:tx>
          <c:spPr>
            <a:solidFill>
              <a:srgbClr val="107c10"/>
            </a:solidFill>
            <a:ln w="24840">
              <a:solidFill>
                <a:srgbClr val="107c1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Resumo!$A$17:$A$28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Resumo!$B$17:$B$28</c:f>
              <c:numCache>
                <c:formatCode>"R$ "#,##0.00</c:formatCode>
                <c:ptCount val="12"/>
                <c:pt idx="0">
                  <c:v>36273.85</c:v>
                </c:pt>
                <c:pt idx="1">
                  <c:v>27827.05</c:v>
                </c:pt>
                <c:pt idx="2">
                  <c:v>21165.21</c:v>
                </c:pt>
                <c:pt idx="3">
                  <c:v>13420.41</c:v>
                </c:pt>
                <c:pt idx="4">
                  <c:v>34717.33</c:v>
                </c:pt>
                <c:pt idx="5">
                  <c:v>21761</c:v>
                </c:pt>
                <c:pt idx="6">
                  <c:v>19973.95</c:v>
                </c:pt>
                <c:pt idx="7">
                  <c:v>33805.36</c:v>
                </c:pt>
                <c:pt idx="8">
                  <c:v>17115.95</c:v>
                </c:pt>
                <c:pt idx="9">
                  <c:v>31297.82</c:v>
                </c:pt>
                <c:pt idx="10">
                  <c:v>37474.78</c:v>
                </c:pt>
                <c:pt idx="11">
                  <c:v>30098.22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549446"/>
        <c:axId val="15804889"/>
      </c:lineChart>
      <c:catAx>
        <c:axId val="935494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04889"/>
        <c:crosses val="autoZero"/>
        <c:auto val="1"/>
        <c:lblAlgn val="ctr"/>
        <c:lblOffset val="100"/>
        <c:noMultiLvlLbl val="0"/>
      </c:catAx>
      <c:valAx>
        <c:axId val="15804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494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Resumo!B31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0e6e0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Resumo!$A$32:$A$37</c:f>
              <c:strCache>
                <c:ptCount val="6"/>
                <c:pt idx="0">
                  <c:v>Sea of Thieves</c:v>
                </c:pt>
                <c:pt idx="1">
                  <c:v>Bateria Recarregável Play &amp; Charge</c:v>
                </c:pt>
                <c:pt idx="2">
                  <c:v>Call of Duty: Black Ops 6</c:v>
                </c:pt>
                <c:pt idx="3">
                  <c:v>Starfield</c:v>
                </c:pt>
                <c:pt idx="4">
                  <c:v>Xbox Game Pass Ultimate (3 meses)</c:v>
                </c:pt>
                <c:pt idx="5">
                  <c:v>Gears of War: E-Day</c:v>
                </c:pt>
              </c:strCache>
            </c:strRef>
          </c:cat>
          <c:val>
            <c:numRef>
              <c:f>Resumo!$B$32:$B$37</c:f>
              <c:numCache>
                <c:formatCode>General</c:formatCode>
                <c:ptCount val="6"/>
                <c:pt idx="0">
                  <c:v>55</c:v>
                </c:pt>
                <c:pt idx="1">
                  <c:v>51</c:v>
                </c:pt>
                <c:pt idx="2">
                  <c:v>48</c:v>
                </c:pt>
                <c:pt idx="3">
                  <c:v>47</c:v>
                </c:pt>
                <c:pt idx="4">
                  <c:v>43</c:v>
                </c:pt>
                <c:pt idx="5">
                  <c:v>42</c:v>
                </c:pt>
              </c:numCache>
            </c:numRef>
          </c:val>
        </c:ser>
        <c:gapWidth val="60"/>
        <c:overlap val="0"/>
        <c:axId val="40529418"/>
        <c:axId val="88838826"/>
      </c:barChart>
      <c:catAx>
        <c:axId val="4052941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38826"/>
        <c:crosses val="autoZero"/>
        <c:auto val="1"/>
        <c:lblAlgn val="ctr"/>
        <c:lblOffset val="100"/>
        <c:noMultiLvlLbl val="0"/>
      </c:catAx>
      <c:valAx>
        <c:axId val="88838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29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5</xdr:col>
      <xdr:colOff>348480</xdr:colOff>
      <xdr:row>24</xdr:row>
      <xdr:rowOff>32760</xdr:rowOff>
    </xdr:to>
    <xdr:graphicFrame>
      <xdr:nvGraphicFramePr>
        <xdr:cNvPr id="0" name="Chart 1"/>
        <xdr:cNvGraphicFramePr/>
      </xdr:nvGraphicFramePr>
      <xdr:xfrm>
        <a:off x="211320" y="207648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10</xdr:col>
      <xdr:colOff>137160</xdr:colOff>
      <xdr:row>24</xdr:row>
      <xdr:rowOff>32760</xdr:rowOff>
    </xdr:to>
    <xdr:graphicFrame>
      <xdr:nvGraphicFramePr>
        <xdr:cNvPr id="1" name="Chart 2"/>
        <xdr:cNvGraphicFramePr/>
      </xdr:nvGraphicFramePr>
      <xdr:xfrm>
        <a:off x="4722480" y="207648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5</xdr:col>
      <xdr:colOff>348480</xdr:colOff>
      <xdr:row>41</xdr:row>
      <xdr:rowOff>32760</xdr:rowOff>
    </xdr:to>
    <xdr:graphicFrame>
      <xdr:nvGraphicFramePr>
        <xdr:cNvPr id="2" name="Chart 3"/>
        <xdr:cNvGraphicFramePr/>
      </xdr:nvGraphicFramePr>
      <xdr:xfrm>
        <a:off x="211320" y="537228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10</xdr:col>
      <xdr:colOff>137160</xdr:colOff>
      <xdr:row>41</xdr:row>
      <xdr:rowOff>32760</xdr:rowOff>
    </xdr:to>
    <xdr:graphicFrame>
      <xdr:nvGraphicFramePr>
        <xdr:cNvPr id="3" name="Chart 4"/>
        <xdr:cNvGraphicFramePr/>
      </xdr:nvGraphicFramePr>
      <xdr:xfrm>
        <a:off x="4722480" y="537228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  <col collapsed="false" customWidth="true" hidden="false" outlineLevel="0" max="10" min="10" style="0" width="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6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7.5" hidden="false" customHeight="true" outlineLevel="0" collapsed="false"/>
    <row r="6" customFormat="false" ht="19.5" hidden="false" customHeight="true" outlineLevel="0" collapsed="false">
      <c r="B6" s="4" t="s">
        <v>2</v>
      </c>
      <c r="C6" s="4"/>
      <c r="D6" s="4" t="s">
        <v>3</v>
      </c>
      <c r="E6" s="4"/>
      <c r="F6" s="4" t="s">
        <v>4</v>
      </c>
      <c r="G6" s="4"/>
      <c r="H6" s="4" t="s">
        <v>5</v>
      </c>
      <c r="I6" s="4"/>
    </row>
    <row r="7" customFormat="false" ht="30" hidden="false" customHeight="true" outlineLevel="0" collapsed="false">
      <c r="B7" s="5" t="n">
        <f aca="false">SUM(Dados!G2:G321)</f>
        <v>324930.93</v>
      </c>
      <c r="C7" s="5"/>
      <c r="D7" s="6" t="n">
        <f aca="false">SUM(Dados!E2:E321)</f>
        <v>605</v>
      </c>
      <c r="E7" s="6"/>
      <c r="F7" s="5" t="n">
        <f aca="false">SUM(Dados!G2:G321)/COUNTA(Dados!A2:A321)</f>
        <v>1015.40915625</v>
      </c>
      <c r="G7" s="5"/>
      <c r="H7" s="7" t="str">
        <f aca="false">INDEX(Resumo!A3:A5,MATCH(MAX(Resumo!B3:B5),Resumo!B3:B5,0))</f>
        <v>Console</v>
      </c>
      <c r="I7" s="7"/>
    </row>
    <row r="8" customFormat="false" ht="7.5" hidden="false" customHeight="true" outlineLevel="0" collapsed="false"/>
    <row r="10" customFormat="false" ht="19.5" hidden="false" customHeight="true" outlineLevel="0" collapsed="false">
      <c r="B10" s="8" t="s">
        <v>6</v>
      </c>
      <c r="C10" s="8"/>
      <c r="D10" s="8"/>
      <c r="E10" s="8"/>
      <c r="F10" s="8" t="s">
        <v>7</v>
      </c>
      <c r="G10" s="8"/>
      <c r="H10" s="8"/>
      <c r="I10" s="8"/>
    </row>
    <row r="27" customFormat="false" ht="19.5" hidden="false" customHeight="true" outlineLevel="0" collapsed="false">
      <c r="B27" s="8" t="s">
        <v>8</v>
      </c>
      <c r="C27" s="8"/>
      <c r="D27" s="8"/>
      <c r="E27" s="8"/>
      <c r="F27" s="8" t="s">
        <v>9</v>
      </c>
      <c r="G27" s="8"/>
      <c r="H27" s="8"/>
      <c r="I27" s="8"/>
    </row>
    <row r="45" customFormat="false" ht="15" hidden="false" customHeight="false" outlineLevel="0" collapsed="false">
      <c r="B45" s="9" t="s">
        <v>10</v>
      </c>
      <c r="C45" s="9"/>
      <c r="D45" s="9"/>
      <c r="E45" s="9"/>
      <c r="F45" s="9"/>
      <c r="G45" s="9"/>
      <c r="H45" s="9"/>
      <c r="I45" s="9"/>
    </row>
  </sheetData>
  <mergeCells count="15">
    <mergeCell ref="A1:J2"/>
    <mergeCell ref="A3:J3"/>
    <mergeCell ref="B6:C6"/>
    <mergeCell ref="D6:E6"/>
    <mergeCell ref="F6:G6"/>
    <mergeCell ref="H6:I6"/>
    <mergeCell ref="B7:C7"/>
    <mergeCell ref="D7:E7"/>
    <mergeCell ref="F7:G7"/>
    <mergeCell ref="H7:I7"/>
    <mergeCell ref="B10:E10"/>
    <mergeCell ref="F10:I10"/>
    <mergeCell ref="B27:E27"/>
    <mergeCell ref="F27:I27"/>
    <mergeCell ref="B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</row>
    <row r="2" customFormat="false" ht="15" hidden="false" customHeight="false" outlineLevel="0" collapsed="false">
      <c r="A2" s="11" t="n">
        <v>45658</v>
      </c>
      <c r="B2" s="12" t="s">
        <v>19</v>
      </c>
      <c r="C2" s="12" t="s">
        <v>20</v>
      </c>
      <c r="D2" s="12" t="s">
        <v>21</v>
      </c>
      <c r="E2" s="13" t="n">
        <v>4</v>
      </c>
      <c r="F2" s="14" t="n">
        <v>259.9</v>
      </c>
      <c r="G2" s="14" t="n">
        <f aca="false">E2*F2</f>
        <v>1039.6</v>
      </c>
      <c r="H2" s="12" t="n">
        <f aca="false">MONTH(A2)</f>
        <v>1</v>
      </c>
    </row>
    <row r="3" customFormat="false" ht="15" hidden="false" customHeight="false" outlineLevel="0" collapsed="false">
      <c r="A3" s="11" t="n">
        <v>45658</v>
      </c>
      <c r="B3" s="12" t="s">
        <v>19</v>
      </c>
      <c r="C3" s="12" t="s">
        <v>20</v>
      </c>
      <c r="D3" s="12" t="s">
        <v>21</v>
      </c>
      <c r="E3" s="13" t="n">
        <v>1</v>
      </c>
      <c r="F3" s="14" t="n">
        <v>259.9</v>
      </c>
      <c r="G3" s="14" t="n">
        <f aca="false">E3*F3</f>
        <v>259.9</v>
      </c>
      <c r="H3" s="12" t="n">
        <f aca="false">MONTH(A3)</f>
        <v>1</v>
      </c>
    </row>
    <row r="4" customFormat="false" ht="15" hidden="false" customHeight="false" outlineLevel="0" collapsed="false">
      <c r="A4" s="11" t="n">
        <v>45659</v>
      </c>
      <c r="B4" s="12" t="s">
        <v>22</v>
      </c>
      <c r="C4" s="12" t="s">
        <v>23</v>
      </c>
      <c r="D4" s="12" t="s">
        <v>24</v>
      </c>
      <c r="E4" s="13" t="n">
        <v>3</v>
      </c>
      <c r="F4" s="14" t="n">
        <v>217.55</v>
      </c>
      <c r="G4" s="14" t="n">
        <f aca="false">E4*F4</f>
        <v>652.65</v>
      </c>
      <c r="H4" s="12" t="n">
        <f aca="false">MONTH(A4)</f>
        <v>1</v>
      </c>
    </row>
    <row r="5" customFormat="false" ht="15" hidden="false" customHeight="false" outlineLevel="0" collapsed="false">
      <c r="A5" s="11" t="n">
        <v>45662</v>
      </c>
      <c r="B5" s="12" t="s">
        <v>19</v>
      </c>
      <c r="C5" s="12" t="s">
        <v>25</v>
      </c>
      <c r="D5" s="12" t="s">
        <v>21</v>
      </c>
      <c r="E5" s="13" t="n">
        <v>1</v>
      </c>
      <c r="F5" s="14" t="n">
        <v>249.9</v>
      </c>
      <c r="G5" s="14" t="n">
        <f aca="false">E5*F5</f>
        <v>249.9</v>
      </c>
      <c r="H5" s="12" t="n">
        <f aca="false">MONTH(A5)</f>
        <v>1</v>
      </c>
    </row>
    <row r="6" customFormat="false" ht="15" hidden="false" customHeight="false" outlineLevel="0" collapsed="false">
      <c r="A6" s="11" t="n">
        <v>45665</v>
      </c>
      <c r="B6" s="12" t="s">
        <v>19</v>
      </c>
      <c r="C6" s="12" t="s">
        <v>26</v>
      </c>
      <c r="D6" s="12" t="s">
        <v>27</v>
      </c>
      <c r="E6" s="13" t="n">
        <v>1</v>
      </c>
      <c r="F6" s="14" t="n">
        <v>279.9</v>
      </c>
      <c r="G6" s="14" t="n">
        <f aca="false">E6*F6</f>
        <v>279.9</v>
      </c>
      <c r="H6" s="12" t="n">
        <f aca="false">MONTH(A6)</f>
        <v>1</v>
      </c>
    </row>
    <row r="7" customFormat="false" ht="15" hidden="false" customHeight="false" outlineLevel="0" collapsed="false">
      <c r="A7" s="11" t="n">
        <v>45667</v>
      </c>
      <c r="B7" s="12" t="s">
        <v>19</v>
      </c>
      <c r="C7" s="12" t="s">
        <v>28</v>
      </c>
      <c r="D7" s="12" t="s">
        <v>24</v>
      </c>
      <c r="E7" s="13" t="n">
        <v>1</v>
      </c>
      <c r="F7" s="14" t="n">
        <v>269.91</v>
      </c>
      <c r="G7" s="14" t="n">
        <f aca="false">E7*F7</f>
        <v>269.91</v>
      </c>
      <c r="H7" s="12" t="n">
        <f aca="false">MONTH(A7)</f>
        <v>1</v>
      </c>
    </row>
    <row r="8" customFormat="false" ht="15" hidden="false" customHeight="false" outlineLevel="0" collapsed="false">
      <c r="A8" s="11" t="n">
        <v>45667</v>
      </c>
      <c r="B8" s="12" t="s">
        <v>19</v>
      </c>
      <c r="C8" s="12" t="s">
        <v>28</v>
      </c>
      <c r="D8" s="12" t="s">
        <v>27</v>
      </c>
      <c r="E8" s="13" t="n">
        <v>3</v>
      </c>
      <c r="F8" s="14" t="n">
        <v>284.9</v>
      </c>
      <c r="G8" s="14" t="n">
        <f aca="false">E8*F8</f>
        <v>854.7</v>
      </c>
      <c r="H8" s="12" t="n">
        <f aca="false">MONTH(A8)</f>
        <v>1</v>
      </c>
    </row>
    <row r="9" customFormat="false" ht="15" hidden="false" customHeight="false" outlineLevel="0" collapsed="false">
      <c r="A9" s="11" t="n">
        <v>45668</v>
      </c>
      <c r="B9" s="12" t="s">
        <v>19</v>
      </c>
      <c r="C9" s="12" t="s">
        <v>26</v>
      </c>
      <c r="D9" s="12" t="s">
        <v>27</v>
      </c>
      <c r="E9" s="13" t="n">
        <v>1</v>
      </c>
      <c r="F9" s="14" t="n">
        <v>293.89</v>
      </c>
      <c r="G9" s="14" t="n">
        <f aca="false">E9*F9</f>
        <v>293.89</v>
      </c>
      <c r="H9" s="12" t="n">
        <f aca="false">MONTH(A9)</f>
        <v>1</v>
      </c>
    </row>
    <row r="10" customFormat="false" ht="15" hidden="false" customHeight="false" outlineLevel="0" collapsed="false">
      <c r="A10" s="11" t="n">
        <v>45668</v>
      </c>
      <c r="B10" s="12" t="s">
        <v>22</v>
      </c>
      <c r="C10" s="12" t="s">
        <v>29</v>
      </c>
      <c r="D10" s="12" t="s">
        <v>21</v>
      </c>
      <c r="E10" s="13" t="n">
        <v>1</v>
      </c>
      <c r="F10" s="14" t="n">
        <v>129</v>
      </c>
      <c r="G10" s="14" t="n">
        <f aca="false">E10*F10</f>
        <v>129</v>
      </c>
      <c r="H10" s="12" t="n">
        <f aca="false">MONTH(A10)</f>
        <v>1</v>
      </c>
    </row>
    <row r="11" customFormat="false" ht="15" hidden="false" customHeight="false" outlineLevel="0" collapsed="false">
      <c r="A11" s="11" t="n">
        <v>45668</v>
      </c>
      <c r="B11" s="12" t="s">
        <v>19</v>
      </c>
      <c r="C11" s="12" t="s">
        <v>26</v>
      </c>
      <c r="D11" s="12" t="s">
        <v>21</v>
      </c>
      <c r="E11" s="13" t="n">
        <v>2</v>
      </c>
      <c r="F11" s="14" t="n">
        <v>265.9</v>
      </c>
      <c r="G11" s="14" t="n">
        <f aca="false">E11*F11</f>
        <v>531.8</v>
      </c>
      <c r="H11" s="12" t="n">
        <f aca="false">MONTH(A11)</f>
        <v>1</v>
      </c>
    </row>
    <row r="12" customFormat="false" ht="15" hidden="false" customHeight="false" outlineLevel="0" collapsed="false">
      <c r="A12" s="11" t="n">
        <v>45674</v>
      </c>
      <c r="B12" s="12" t="s">
        <v>22</v>
      </c>
      <c r="C12" s="12" t="s">
        <v>30</v>
      </c>
      <c r="D12" s="12" t="s">
        <v>21</v>
      </c>
      <c r="E12" s="13" t="n">
        <v>1</v>
      </c>
      <c r="F12" s="14" t="n">
        <v>142.41</v>
      </c>
      <c r="G12" s="14" t="n">
        <f aca="false">E12*F12</f>
        <v>142.41</v>
      </c>
      <c r="H12" s="12" t="n">
        <f aca="false">MONTH(A12)</f>
        <v>1</v>
      </c>
    </row>
    <row r="13" customFormat="false" ht="15" hidden="false" customHeight="false" outlineLevel="0" collapsed="false">
      <c r="A13" s="11" t="n">
        <v>45674</v>
      </c>
      <c r="B13" s="12" t="s">
        <v>19</v>
      </c>
      <c r="C13" s="12" t="s">
        <v>31</v>
      </c>
      <c r="D13" s="12" t="s">
        <v>32</v>
      </c>
      <c r="E13" s="13" t="n">
        <v>2</v>
      </c>
      <c r="F13" s="14" t="n">
        <v>367.39</v>
      </c>
      <c r="G13" s="14" t="n">
        <f aca="false">E13*F13</f>
        <v>734.78</v>
      </c>
      <c r="H13" s="12" t="n">
        <f aca="false">MONTH(A13)</f>
        <v>1</v>
      </c>
    </row>
    <row r="14" customFormat="false" ht="15" hidden="false" customHeight="false" outlineLevel="0" collapsed="false">
      <c r="A14" s="11" t="n">
        <v>45674</v>
      </c>
      <c r="B14" s="12" t="s">
        <v>22</v>
      </c>
      <c r="C14" s="12" t="s">
        <v>33</v>
      </c>
      <c r="D14" s="12" t="s">
        <v>27</v>
      </c>
      <c r="E14" s="13" t="n">
        <v>5</v>
      </c>
      <c r="F14" s="14" t="n">
        <v>249</v>
      </c>
      <c r="G14" s="14" t="n">
        <f aca="false">E14*F14</f>
        <v>1245</v>
      </c>
      <c r="H14" s="12" t="n">
        <f aca="false">MONTH(A14)</f>
        <v>1</v>
      </c>
    </row>
    <row r="15" customFormat="false" ht="15" hidden="false" customHeight="false" outlineLevel="0" collapsed="false">
      <c r="A15" s="11" t="n">
        <v>45675</v>
      </c>
      <c r="B15" s="12" t="s">
        <v>34</v>
      </c>
      <c r="C15" s="12" t="s">
        <v>35</v>
      </c>
      <c r="D15" s="12" t="s">
        <v>32</v>
      </c>
      <c r="E15" s="13" t="n">
        <v>1</v>
      </c>
      <c r="F15" s="14" t="n">
        <v>3419.1</v>
      </c>
      <c r="G15" s="14" t="n">
        <f aca="false">E15*F15</f>
        <v>3419.1</v>
      </c>
      <c r="H15" s="12" t="n">
        <f aca="false">MONTH(A15)</f>
        <v>1</v>
      </c>
    </row>
    <row r="16" customFormat="false" ht="15" hidden="false" customHeight="false" outlineLevel="0" collapsed="false">
      <c r="A16" s="11" t="n">
        <v>45677</v>
      </c>
      <c r="B16" s="12" t="s">
        <v>34</v>
      </c>
      <c r="C16" s="12" t="s">
        <v>36</v>
      </c>
      <c r="D16" s="12" t="s">
        <v>21</v>
      </c>
      <c r="E16" s="13" t="n">
        <v>2</v>
      </c>
      <c r="F16" s="14" t="n">
        <v>2199</v>
      </c>
      <c r="G16" s="14" t="n">
        <f aca="false">E16*F16</f>
        <v>4398</v>
      </c>
      <c r="H16" s="12" t="n">
        <f aca="false">MONTH(A16)</f>
        <v>1</v>
      </c>
    </row>
    <row r="17" customFormat="false" ht="15" hidden="false" customHeight="false" outlineLevel="0" collapsed="false">
      <c r="A17" s="11" t="n">
        <v>45679</v>
      </c>
      <c r="B17" s="12" t="s">
        <v>19</v>
      </c>
      <c r="C17" s="12" t="s">
        <v>37</v>
      </c>
      <c r="D17" s="12" t="s">
        <v>38</v>
      </c>
      <c r="E17" s="13" t="n">
        <v>1</v>
      </c>
      <c r="F17" s="14" t="n">
        <v>199.9</v>
      </c>
      <c r="G17" s="14" t="n">
        <f aca="false">E17*F17</f>
        <v>199.9</v>
      </c>
      <c r="H17" s="12" t="n">
        <f aca="false">MONTH(A17)</f>
        <v>1</v>
      </c>
    </row>
    <row r="18" customFormat="false" ht="15" hidden="false" customHeight="false" outlineLevel="0" collapsed="false">
      <c r="A18" s="11" t="n">
        <v>45679</v>
      </c>
      <c r="B18" s="12" t="s">
        <v>19</v>
      </c>
      <c r="C18" s="12" t="s">
        <v>26</v>
      </c>
      <c r="D18" s="12" t="s">
        <v>21</v>
      </c>
      <c r="E18" s="13" t="n">
        <v>2</v>
      </c>
      <c r="F18" s="14" t="n">
        <v>279.9</v>
      </c>
      <c r="G18" s="14" t="n">
        <f aca="false">E18*F18</f>
        <v>559.8</v>
      </c>
      <c r="H18" s="12" t="n">
        <f aca="false">MONTH(A18)</f>
        <v>1</v>
      </c>
    </row>
    <row r="19" customFormat="false" ht="15" hidden="false" customHeight="false" outlineLevel="0" collapsed="false">
      <c r="A19" s="11" t="n">
        <v>45679</v>
      </c>
      <c r="B19" s="12" t="s">
        <v>22</v>
      </c>
      <c r="C19" s="12" t="s">
        <v>23</v>
      </c>
      <c r="D19" s="12" t="s">
        <v>27</v>
      </c>
      <c r="E19" s="13" t="n">
        <v>1</v>
      </c>
      <c r="F19" s="14" t="n">
        <v>240.45</v>
      </c>
      <c r="G19" s="14" t="n">
        <f aca="false">E19*F19</f>
        <v>240.45</v>
      </c>
      <c r="H19" s="12" t="n">
        <f aca="false">MONTH(A19)</f>
        <v>1</v>
      </c>
    </row>
    <row r="20" customFormat="false" ht="15" hidden="false" customHeight="false" outlineLevel="0" collapsed="false">
      <c r="A20" s="11" t="n">
        <v>45680</v>
      </c>
      <c r="B20" s="12" t="s">
        <v>22</v>
      </c>
      <c r="C20" s="12" t="s">
        <v>29</v>
      </c>
      <c r="D20" s="12" t="s">
        <v>21</v>
      </c>
      <c r="E20" s="13" t="n">
        <v>4</v>
      </c>
      <c r="F20" s="14" t="n">
        <v>129</v>
      </c>
      <c r="G20" s="14" t="n">
        <f aca="false">E20*F20</f>
        <v>516</v>
      </c>
      <c r="H20" s="12" t="n">
        <f aca="false">MONTH(A20)</f>
        <v>1</v>
      </c>
    </row>
    <row r="21" customFormat="false" ht="15" hidden="false" customHeight="false" outlineLevel="0" collapsed="false">
      <c r="A21" s="11" t="n">
        <v>45680</v>
      </c>
      <c r="B21" s="12" t="s">
        <v>34</v>
      </c>
      <c r="C21" s="12" t="s">
        <v>35</v>
      </c>
      <c r="D21" s="12" t="s">
        <v>32</v>
      </c>
      <c r="E21" s="13" t="n">
        <v>1</v>
      </c>
      <c r="F21" s="14" t="n">
        <v>3988.95</v>
      </c>
      <c r="G21" s="14" t="n">
        <f aca="false">E21*F21</f>
        <v>3988.95</v>
      </c>
      <c r="H21" s="12" t="n">
        <f aca="false">MONTH(A21)</f>
        <v>1</v>
      </c>
    </row>
    <row r="22" customFormat="false" ht="15" hidden="false" customHeight="false" outlineLevel="0" collapsed="false">
      <c r="A22" s="11" t="n">
        <v>45680</v>
      </c>
      <c r="B22" s="12" t="s">
        <v>22</v>
      </c>
      <c r="C22" s="12" t="s">
        <v>39</v>
      </c>
      <c r="D22" s="12" t="s">
        <v>27</v>
      </c>
      <c r="E22" s="13" t="n">
        <v>3</v>
      </c>
      <c r="F22" s="14" t="n">
        <v>471.45</v>
      </c>
      <c r="G22" s="14" t="n">
        <f aca="false">E22*F22</f>
        <v>1414.35</v>
      </c>
      <c r="H22" s="12" t="n">
        <f aca="false">MONTH(A22)</f>
        <v>1</v>
      </c>
    </row>
    <row r="23" customFormat="false" ht="15" hidden="false" customHeight="false" outlineLevel="0" collapsed="false">
      <c r="A23" s="11" t="n">
        <v>45681</v>
      </c>
      <c r="B23" s="12" t="s">
        <v>19</v>
      </c>
      <c r="C23" s="12" t="s">
        <v>37</v>
      </c>
      <c r="D23" s="12" t="s">
        <v>21</v>
      </c>
      <c r="E23" s="13" t="n">
        <v>1</v>
      </c>
      <c r="F23" s="14" t="n">
        <v>199.9</v>
      </c>
      <c r="G23" s="14" t="n">
        <f aca="false">E23*F23</f>
        <v>199.9</v>
      </c>
      <c r="H23" s="12" t="n">
        <f aca="false">MONTH(A23)</f>
        <v>1</v>
      </c>
    </row>
    <row r="24" customFormat="false" ht="15" hidden="false" customHeight="false" outlineLevel="0" collapsed="false">
      <c r="A24" s="11" t="n">
        <v>45681</v>
      </c>
      <c r="B24" s="12" t="s">
        <v>22</v>
      </c>
      <c r="C24" s="12" t="s">
        <v>29</v>
      </c>
      <c r="D24" s="12" t="s">
        <v>21</v>
      </c>
      <c r="E24" s="13" t="n">
        <v>1</v>
      </c>
      <c r="F24" s="14" t="n">
        <v>122.55</v>
      </c>
      <c r="G24" s="14" t="n">
        <f aca="false">E24*F24</f>
        <v>122.55</v>
      </c>
      <c r="H24" s="12" t="n">
        <f aca="false">MONTH(A24)</f>
        <v>1</v>
      </c>
    </row>
    <row r="25" customFormat="false" ht="15" hidden="false" customHeight="false" outlineLevel="0" collapsed="false">
      <c r="A25" s="11" t="n">
        <v>45681</v>
      </c>
      <c r="B25" s="12" t="s">
        <v>19</v>
      </c>
      <c r="C25" s="12" t="s">
        <v>26</v>
      </c>
      <c r="D25" s="12" t="s">
        <v>21</v>
      </c>
      <c r="E25" s="13" t="n">
        <v>1</v>
      </c>
      <c r="F25" s="14" t="n">
        <v>251.91</v>
      </c>
      <c r="G25" s="14" t="n">
        <f aca="false">E25*F25</f>
        <v>251.91</v>
      </c>
      <c r="H25" s="12" t="n">
        <f aca="false">MONTH(A25)</f>
        <v>1</v>
      </c>
    </row>
    <row r="26" customFormat="false" ht="15" hidden="false" customHeight="false" outlineLevel="0" collapsed="false">
      <c r="A26" s="11" t="n">
        <v>45683</v>
      </c>
      <c r="B26" s="12" t="s">
        <v>19</v>
      </c>
      <c r="C26" s="12" t="s">
        <v>40</v>
      </c>
      <c r="D26" s="12" t="s">
        <v>38</v>
      </c>
      <c r="E26" s="13" t="n">
        <v>1</v>
      </c>
      <c r="F26" s="14" t="n">
        <v>179.9</v>
      </c>
      <c r="G26" s="14" t="n">
        <f aca="false">E26*F26</f>
        <v>179.9</v>
      </c>
      <c r="H26" s="12" t="n">
        <f aca="false">MONTH(A26)</f>
        <v>1</v>
      </c>
    </row>
    <row r="27" customFormat="false" ht="15" hidden="false" customHeight="false" outlineLevel="0" collapsed="false">
      <c r="A27" s="11" t="n">
        <v>45684</v>
      </c>
      <c r="B27" s="12" t="s">
        <v>34</v>
      </c>
      <c r="C27" s="12" t="s">
        <v>36</v>
      </c>
      <c r="D27" s="12" t="s">
        <v>27</v>
      </c>
      <c r="E27" s="13" t="n">
        <v>1</v>
      </c>
      <c r="F27" s="14" t="n">
        <v>1979.1</v>
      </c>
      <c r="G27" s="14" t="n">
        <f aca="false">E27*F27</f>
        <v>1979.1</v>
      </c>
      <c r="H27" s="12" t="n">
        <f aca="false">MONTH(A27)</f>
        <v>1</v>
      </c>
    </row>
    <row r="28" customFormat="false" ht="15" hidden="false" customHeight="false" outlineLevel="0" collapsed="false">
      <c r="A28" s="11" t="n">
        <v>45684</v>
      </c>
      <c r="B28" s="12" t="s">
        <v>22</v>
      </c>
      <c r="C28" s="12" t="s">
        <v>29</v>
      </c>
      <c r="D28" s="12" t="s">
        <v>21</v>
      </c>
      <c r="E28" s="13" t="n">
        <v>1</v>
      </c>
      <c r="F28" s="14" t="n">
        <v>122.55</v>
      </c>
      <c r="G28" s="14" t="n">
        <f aca="false">E28*F28</f>
        <v>122.55</v>
      </c>
      <c r="H28" s="12" t="n">
        <f aca="false">MONTH(A28)</f>
        <v>1</v>
      </c>
    </row>
    <row r="29" customFormat="false" ht="15" hidden="false" customHeight="false" outlineLevel="0" collapsed="false">
      <c r="A29" s="11" t="n">
        <v>45685</v>
      </c>
      <c r="B29" s="12" t="s">
        <v>34</v>
      </c>
      <c r="C29" s="12" t="s">
        <v>41</v>
      </c>
      <c r="D29" s="12" t="s">
        <v>24</v>
      </c>
      <c r="E29" s="13" t="n">
        <v>1</v>
      </c>
      <c r="F29" s="14" t="n">
        <v>1499</v>
      </c>
      <c r="G29" s="14" t="n">
        <f aca="false">E29*F29</f>
        <v>1499</v>
      </c>
      <c r="H29" s="12" t="n">
        <f aca="false">MONTH(A29)</f>
        <v>1</v>
      </c>
    </row>
    <row r="30" customFormat="false" ht="15" hidden="false" customHeight="false" outlineLevel="0" collapsed="false">
      <c r="A30" s="11" t="n">
        <v>45686</v>
      </c>
      <c r="B30" s="12" t="s">
        <v>34</v>
      </c>
      <c r="C30" s="12" t="s">
        <v>36</v>
      </c>
      <c r="D30" s="12" t="s">
        <v>24</v>
      </c>
      <c r="E30" s="13" t="n">
        <v>2</v>
      </c>
      <c r="F30" s="14" t="n">
        <v>2199</v>
      </c>
      <c r="G30" s="14" t="n">
        <f aca="false">E30*F30</f>
        <v>4398</v>
      </c>
      <c r="H30" s="12" t="n">
        <f aca="false">MONTH(A30)</f>
        <v>1</v>
      </c>
    </row>
    <row r="31" customFormat="false" ht="15" hidden="false" customHeight="false" outlineLevel="0" collapsed="false">
      <c r="A31" s="11" t="n">
        <v>45686</v>
      </c>
      <c r="B31" s="12" t="s">
        <v>22</v>
      </c>
      <c r="C31" s="12" t="s">
        <v>29</v>
      </c>
      <c r="D31" s="12" t="s">
        <v>21</v>
      </c>
      <c r="E31" s="13" t="n">
        <v>1</v>
      </c>
      <c r="F31" s="14" t="n">
        <v>129</v>
      </c>
      <c r="G31" s="14" t="n">
        <f aca="false">E31*F31</f>
        <v>129</v>
      </c>
      <c r="H31" s="12" t="n">
        <f aca="false">MONTH(A31)</f>
        <v>1</v>
      </c>
    </row>
    <row r="32" customFormat="false" ht="15" hidden="false" customHeight="false" outlineLevel="0" collapsed="false">
      <c r="A32" s="11" t="n">
        <v>45687</v>
      </c>
      <c r="B32" s="12" t="s">
        <v>34</v>
      </c>
      <c r="C32" s="12" t="s">
        <v>41</v>
      </c>
      <c r="D32" s="12" t="s">
        <v>21</v>
      </c>
      <c r="E32" s="13" t="n">
        <v>1</v>
      </c>
      <c r="F32" s="14" t="n">
        <v>1573.95</v>
      </c>
      <c r="G32" s="14" t="n">
        <f aca="false">E32*F32</f>
        <v>1573.95</v>
      </c>
      <c r="H32" s="12" t="n">
        <f aca="false">MONTH(A32)</f>
        <v>1</v>
      </c>
    </row>
    <row r="33" customFormat="false" ht="15" hidden="false" customHeight="false" outlineLevel="0" collapsed="false">
      <c r="A33" s="11" t="n">
        <v>45688</v>
      </c>
      <c r="B33" s="12" t="s">
        <v>34</v>
      </c>
      <c r="C33" s="12" t="s">
        <v>36</v>
      </c>
      <c r="D33" s="12" t="s">
        <v>27</v>
      </c>
      <c r="E33" s="13" t="n">
        <v>2</v>
      </c>
      <c r="F33" s="14" t="n">
        <v>2199</v>
      </c>
      <c r="G33" s="14" t="n">
        <f aca="false">E33*F33</f>
        <v>4398</v>
      </c>
      <c r="H33" s="12" t="n">
        <f aca="false">MONTH(A33)</f>
        <v>1</v>
      </c>
    </row>
    <row r="34" customFormat="false" ht="15" hidden="false" customHeight="false" outlineLevel="0" collapsed="false">
      <c r="A34" s="11" t="n">
        <v>45689</v>
      </c>
      <c r="B34" s="12" t="s">
        <v>19</v>
      </c>
      <c r="C34" s="12" t="s">
        <v>26</v>
      </c>
      <c r="D34" s="12" t="s">
        <v>24</v>
      </c>
      <c r="E34" s="13" t="n">
        <v>4</v>
      </c>
      <c r="F34" s="14" t="n">
        <v>251.91</v>
      </c>
      <c r="G34" s="14" t="n">
        <f aca="false">E34*F34</f>
        <v>1007.64</v>
      </c>
      <c r="H34" s="12" t="n">
        <f aca="false">MONTH(A34)</f>
        <v>2</v>
      </c>
    </row>
    <row r="35" customFormat="false" ht="15" hidden="false" customHeight="false" outlineLevel="0" collapsed="false">
      <c r="A35" s="11" t="n">
        <v>45689</v>
      </c>
      <c r="B35" s="12" t="s">
        <v>22</v>
      </c>
      <c r="C35" s="12" t="s">
        <v>30</v>
      </c>
      <c r="D35" s="12" t="s">
        <v>27</v>
      </c>
      <c r="E35" s="13" t="n">
        <v>1</v>
      </c>
      <c r="F35" s="14" t="n">
        <v>157.4</v>
      </c>
      <c r="G35" s="14" t="n">
        <f aca="false">E35*F35</f>
        <v>157.4</v>
      </c>
      <c r="H35" s="12" t="n">
        <f aca="false">MONTH(A35)</f>
        <v>2</v>
      </c>
    </row>
    <row r="36" customFormat="false" ht="15" hidden="false" customHeight="false" outlineLevel="0" collapsed="false">
      <c r="A36" s="11" t="n">
        <v>45689</v>
      </c>
      <c r="B36" s="12" t="s">
        <v>19</v>
      </c>
      <c r="C36" s="12" t="s">
        <v>42</v>
      </c>
      <c r="D36" s="12" t="s">
        <v>24</v>
      </c>
      <c r="E36" s="13" t="n">
        <v>1</v>
      </c>
      <c r="F36" s="14" t="n">
        <v>157.4</v>
      </c>
      <c r="G36" s="14" t="n">
        <f aca="false">E36*F36</f>
        <v>157.4</v>
      </c>
      <c r="H36" s="12" t="n">
        <f aca="false">MONTH(A36)</f>
        <v>2</v>
      </c>
    </row>
    <row r="37" customFormat="false" ht="15" hidden="false" customHeight="false" outlineLevel="0" collapsed="false">
      <c r="A37" s="11" t="n">
        <v>45692</v>
      </c>
      <c r="B37" s="12" t="s">
        <v>34</v>
      </c>
      <c r="C37" s="12" t="s">
        <v>35</v>
      </c>
      <c r="D37" s="12" t="s">
        <v>21</v>
      </c>
      <c r="E37" s="13" t="n">
        <v>1</v>
      </c>
      <c r="F37" s="14" t="n">
        <v>3988.95</v>
      </c>
      <c r="G37" s="14" t="n">
        <f aca="false">E37*F37</f>
        <v>3988.95</v>
      </c>
      <c r="H37" s="12" t="n">
        <f aca="false">MONTH(A37)</f>
        <v>2</v>
      </c>
    </row>
    <row r="38" customFormat="false" ht="15" hidden="false" customHeight="false" outlineLevel="0" collapsed="false">
      <c r="A38" s="11" t="n">
        <v>45693</v>
      </c>
      <c r="B38" s="12" t="s">
        <v>22</v>
      </c>
      <c r="C38" s="12" t="s">
        <v>29</v>
      </c>
      <c r="D38" s="12" t="s">
        <v>32</v>
      </c>
      <c r="E38" s="13" t="n">
        <v>1</v>
      </c>
      <c r="F38" s="14" t="n">
        <v>116.1</v>
      </c>
      <c r="G38" s="14" t="n">
        <f aca="false">E38*F38</f>
        <v>116.1</v>
      </c>
      <c r="H38" s="12" t="n">
        <f aca="false">MONTH(A38)</f>
        <v>2</v>
      </c>
    </row>
    <row r="39" customFormat="false" ht="15" hidden="false" customHeight="false" outlineLevel="0" collapsed="false">
      <c r="A39" s="11" t="n">
        <v>45693</v>
      </c>
      <c r="B39" s="12" t="s">
        <v>19</v>
      </c>
      <c r="C39" s="12" t="s">
        <v>26</v>
      </c>
      <c r="D39" s="12" t="s">
        <v>21</v>
      </c>
      <c r="E39" s="13" t="n">
        <v>4</v>
      </c>
      <c r="F39" s="14" t="n">
        <v>265.9</v>
      </c>
      <c r="G39" s="14" t="n">
        <f aca="false">E39*F39</f>
        <v>1063.6</v>
      </c>
      <c r="H39" s="12" t="n">
        <f aca="false">MONTH(A39)</f>
        <v>2</v>
      </c>
    </row>
    <row r="40" customFormat="false" ht="15" hidden="false" customHeight="false" outlineLevel="0" collapsed="false">
      <c r="A40" s="11" t="n">
        <v>45694</v>
      </c>
      <c r="B40" s="12" t="s">
        <v>19</v>
      </c>
      <c r="C40" s="12" t="s">
        <v>37</v>
      </c>
      <c r="D40" s="12" t="s">
        <v>27</v>
      </c>
      <c r="E40" s="13" t="n">
        <v>2</v>
      </c>
      <c r="F40" s="14" t="n">
        <v>199.9</v>
      </c>
      <c r="G40" s="14" t="n">
        <f aca="false">E40*F40</f>
        <v>399.8</v>
      </c>
      <c r="H40" s="12" t="n">
        <f aca="false">MONTH(A40)</f>
        <v>2</v>
      </c>
    </row>
    <row r="41" customFormat="false" ht="15" hidden="false" customHeight="false" outlineLevel="0" collapsed="false">
      <c r="A41" s="11" t="n">
        <v>45695</v>
      </c>
      <c r="B41" s="12" t="s">
        <v>34</v>
      </c>
      <c r="C41" s="12" t="s">
        <v>36</v>
      </c>
      <c r="D41" s="12" t="s">
        <v>32</v>
      </c>
      <c r="E41" s="13" t="n">
        <v>1</v>
      </c>
      <c r="F41" s="14" t="n">
        <v>2308.95</v>
      </c>
      <c r="G41" s="14" t="n">
        <f aca="false">E41*F41</f>
        <v>2308.95</v>
      </c>
      <c r="H41" s="12" t="n">
        <f aca="false">MONTH(A41)</f>
        <v>2</v>
      </c>
    </row>
    <row r="42" customFormat="false" ht="15" hidden="false" customHeight="false" outlineLevel="0" collapsed="false">
      <c r="A42" s="11" t="n">
        <v>45696</v>
      </c>
      <c r="B42" s="12" t="s">
        <v>34</v>
      </c>
      <c r="C42" s="12" t="s">
        <v>36</v>
      </c>
      <c r="D42" s="12" t="s">
        <v>27</v>
      </c>
      <c r="E42" s="13" t="n">
        <v>1</v>
      </c>
      <c r="F42" s="14" t="n">
        <v>2199</v>
      </c>
      <c r="G42" s="14" t="n">
        <f aca="false">E42*F42</f>
        <v>2199</v>
      </c>
      <c r="H42" s="12" t="n">
        <f aca="false">MONTH(A42)</f>
        <v>2</v>
      </c>
    </row>
    <row r="43" customFormat="false" ht="15" hidden="false" customHeight="false" outlineLevel="0" collapsed="false">
      <c r="A43" s="11" t="n">
        <v>45696</v>
      </c>
      <c r="B43" s="12" t="s">
        <v>19</v>
      </c>
      <c r="C43" s="12" t="s">
        <v>31</v>
      </c>
      <c r="D43" s="12" t="s">
        <v>21</v>
      </c>
      <c r="E43" s="13" t="n">
        <v>2</v>
      </c>
      <c r="F43" s="14" t="n">
        <v>367.39</v>
      </c>
      <c r="G43" s="14" t="n">
        <f aca="false">E43*F43</f>
        <v>734.78</v>
      </c>
      <c r="H43" s="12" t="n">
        <f aca="false">MONTH(A43)</f>
        <v>2</v>
      </c>
    </row>
    <row r="44" customFormat="false" ht="15" hidden="false" customHeight="false" outlineLevel="0" collapsed="false">
      <c r="A44" s="11" t="n">
        <v>45699</v>
      </c>
      <c r="B44" s="12" t="s">
        <v>22</v>
      </c>
      <c r="C44" s="12" t="s">
        <v>29</v>
      </c>
      <c r="D44" s="12" t="s">
        <v>21</v>
      </c>
      <c r="E44" s="13" t="n">
        <v>1</v>
      </c>
      <c r="F44" s="14" t="n">
        <v>135.45</v>
      </c>
      <c r="G44" s="14" t="n">
        <f aca="false">E44*F44</f>
        <v>135.45</v>
      </c>
      <c r="H44" s="12" t="n">
        <f aca="false">MONTH(A44)</f>
        <v>2</v>
      </c>
    </row>
    <row r="45" customFormat="false" ht="15" hidden="false" customHeight="false" outlineLevel="0" collapsed="false">
      <c r="A45" s="11" t="n">
        <v>45702</v>
      </c>
      <c r="B45" s="12" t="s">
        <v>22</v>
      </c>
      <c r="C45" s="12" t="s">
        <v>23</v>
      </c>
      <c r="D45" s="12" t="s">
        <v>32</v>
      </c>
      <c r="E45" s="13" t="n">
        <v>3</v>
      </c>
      <c r="F45" s="14" t="n">
        <v>217.55</v>
      </c>
      <c r="G45" s="14" t="n">
        <f aca="false">E45*F45</f>
        <v>652.65</v>
      </c>
      <c r="H45" s="12" t="n">
        <f aca="false">MONTH(A45)</f>
        <v>2</v>
      </c>
    </row>
    <row r="46" customFormat="false" ht="15" hidden="false" customHeight="false" outlineLevel="0" collapsed="false">
      <c r="A46" s="11" t="n">
        <v>45703</v>
      </c>
      <c r="B46" s="12" t="s">
        <v>19</v>
      </c>
      <c r="C46" s="12" t="s">
        <v>42</v>
      </c>
      <c r="D46" s="12" t="s">
        <v>21</v>
      </c>
      <c r="E46" s="13" t="n">
        <v>3</v>
      </c>
      <c r="F46" s="14" t="n">
        <v>142.41</v>
      </c>
      <c r="G46" s="14" t="n">
        <f aca="false">E46*F46</f>
        <v>427.23</v>
      </c>
      <c r="H46" s="12" t="n">
        <f aca="false">MONTH(A46)</f>
        <v>2</v>
      </c>
    </row>
    <row r="47" customFormat="false" ht="15" hidden="false" customHeight="false" outlineLevel="0" collapsed="false">
      <c r="A47" s="11" t="n">
        <v>45704</v>
      </c>
      <c r="B47" s="12" t="s">
        <v>19</v>
      </c>
      <c r="C47" s="12" t="s">
        <v>37</v>
      </c>
      <c r="D47" s="12" t="s">
        <v>21</v>
      </c>
      <c r="E47" s="13" t="n">
        <v>1</v>
      </c>
      <c r="F47" s="14" t="n">
        <v>199.9</v>
      </c>
      <c r="G47" s="14" t="n">
        <f aca="false">E47*F47</f>
        <v>199.9</v>
      </c>
      <c r="H47" s="12" t="n">
        <f aca="false">MONTH(A47)</f>
        <v>2</v>
      </c>
    </row>
    <row r="48" customFormat="false" ht="15" hidden="false" customHeight="false" outlineLevel="0" collapsed="false">
      <c r="A48" s="11" t="n">
        <v>45705</v>
      </c>
      <c r="B48" s="12" t="s">
        <v>34</v>
      </c>
      <c r="C48" s="12" t="s">
        <v>41</v>
      </c>
      <c r="D48" s="12" t="s">
        <v>27</v>
      </c>
      <c r="E48" s="13" t="n">
        <v>1</v>
      </c>
      <c r="F48" s="14" t="n">
        <v>1573.95</v>
      </c>
      <c r="G48" s="14" t="n">
        <f aca="false">E48*F48</f>
        <v>1573.95</v>
      </c>
      <c r="H48" s="12" t="n">
        <f aca="false">MONTH(A48)</f>
        <v>2</v>
      </c>
    </row>
    <row r="49" customFormat="false" ht="15" hidden="false" customHeight="false" outlineLevel="0" collapsed="false">
      <c r="A49" s="11" t="n">
        <v>45705</v>
      </c>
      <c r="B49" s="12" t="s">
        <v>19</v>
      </c>
      <c r="C49" s="12" t="s">
        <v>40</v>
      </c>
      <c r="D49" s="12" t="s">
        <v>32</v>
      </c>
      <c r="E49" s="13" t="n">
        <v>1</v>
      </c>
      <c r="F49" s="14" t="n">
        <v>170.91</v>
      </c>
      <c r="G49" s="14" t="n">
        <f aca="false">E49*F49</f>
        <v>170.91</v>
      </c>
      <c r="H49" s="12" t="n">
        <f aca="false">MONTH(A49)</f>
        <v>2</v>
      </c>
    </row>
    <row r="50" customFormat="false" ht="15" hidden="false" customHeight="false" outlineLevel="0" collapsed="false">
      <c r="A50" s="11" t="n">
        <v>45708</v>
      </c>
      <c r="B50" s="12" t="s">
        <v>34</v>
      </c>
      <c r="C50" s="12" t="s">
        <v>41</v>
      </c>
      <c r="D50" s="12" t="s">
        <v>32</v>
      </c>
      <c r="E50" s="13" t="n">
        <v>3</v>
      </c>
      <c r="F50" s="14" t="n">
        <v>1499</v>
      </c>
      <c r="G50" s="14" t="n">
        <f aca="false">E50*F50</f>
        <v>4497</v>
      </c>
      <c r="H50" s="12" t="n">
        <f aca="false">MONTH(A50)</f>
        <v>2</v>
      </c>
    </row>
    <row r="51" customFormat="false" ht="15" hidden="false" customHeight="false" outlineLevel="0" collapsed="false">
      <c r="A51" s="11" t="n">
        <v>45708</v>
      </c>
      <c r="B51" s="12" t="s">
        <v>22</v>
      </c>
      <c r="C51" s="12" t="s">
        <v>23</v>
      </c>
      <c r="D51" s="12" t="s">
        <v>27</v>
      </c>
      <c r="E51" s="13" t="n">
        <v>5</v>
      </c>
      <c r="F51" s="14" t="n">
        <v>229</v>
      </c>
      <c r="G51" s="14" t="n">
        <f aca="false">E51*F51</f>
        <v>1145</v>
      </c>
      <c r="H51" s="12" t="n">
        <f aca="false">MONTH(A51)</f>
        <v>2</v>
      </c>
    </row>
    <row r="52" customFormat="false" ht="15" hidden="false" customHeight="false" outlineLevel="0" collapsed="false">
      <c r="A52" s="11" t="n">
        <v>45710</v>
      </c>
      <c r="B52" s="12" t="s">
        <v>22</v>
      </c>
      <c r="C52" s="12" t="s">
        <v>29</v>
      </c>
      <c r="D52" s="12" t="s">
        <v>21</v>
      </c>
      <c r="E52" s="13" t="n">
        <v>1</v>
      </c>
      <c r="F52" s="14" t="n">
        <v>129</v>
      </c>
      <c r="G52" s="14" t="n">
        <f aca="false">E52*F52</f>
        <v>129</v>
      </c>
      <c r="H52" s="12" t="n">
        <f aca="false">MONTH(A52)</f>
        <v>2</v>
      </c>
    </row>
    <row r="53" customFormat="false" ht="15" hidden="false" customHeight="false" outlineLevel="0" collapsed="false">
      <c r="A53" s="11" t="n">
        <v>45710</v>
      </c>
      <c r="B53" s="12" t="s">
        <v>34</v>
      </c>
      <c r="C53" s="12" t="s">
        <v>35</v>
      </c>
      <c r="D53" s="12" t="s">
        <v>21</v>
      </c>
      <c r="E53" s="13" t="n">
        <v>1</v>
      </c>
      <c r="F53" s="14" t="n">
        <v>3799</v>
      </c>
      <c r="G53" s="14" t="n">
        <f aca="false">E53*F53</f>
        <v>3799</v>
      </c>
      <c r="H53" s="12" t="n">
        <f aca="false">MONTH(A53)</f>
        <v>2</v>
      </c>
    </row>
    <row r="54" customFormat="false" ht="15" hidden="false" customHeight="false" outlineLevel="0" collapsed="false">
      <c r="A54" s="11" t="n">
        <v>45712</v>
      </c>
      <c r="B54" s="12" t="s">
        <v>22</v>
      </c>
      <c r="C54" s="12" t="s">
        <v>23</v>
      </c>
      <c r="D54" s="12" t="s">
        <v>38</v>
      </c>
      <c r="E54" s="13" t="n">
        <v>2</v>
      </c>
      <c r="F54" s="14" t="n">
        <v>229</v>
      </c>
      <c r="G54" s="14" t="n">
        <f aca="false">E54*F54</f>
        <v>458</v>
      </c>
      <c r="H54" s="12" t="n">
        <f aca="false">MONTH(A54)</f>
        <v>2</v>
      </c>
    </row>
    <row r="55" customFormat="false" ht="15" hidden="false" customHeight="false" outlineLevel="0" collapsed="false">
      <c r="A55" s="11" t="n">
        <v>45712</v>
      </c>
      <c r="B55" s="12" t="s">
        <v>19</v>
      </c>
      <c r="C55" s="12" t="s">
        <v>42</v>
      </c>
      <c r="D55" s="12" t="s">
        <v>32</v>
      </c>
      <c r="E55" s="13" t="n">
        <v>3</v>
      </c>
      <c r="F55" s="14" t="n">
        <v>157.4</v>
      </c>
      <c r="G55" s="14" t="n">
        <f aca="false">E55*F55</f>
        <v>472.2</v>
      </c>
      <c r="H55" s="12" t="n">
        <f aca="false">MONTH(A55)</f>
        <v>2</v>
      </c>
    </row>
    <row r="56" customFormat="false" ht="15" hidden="false" customHeight="false" outlineLevel="0" collapsed="false">
      <c r="A56" s="11" t="n">
        <v>45713</v>
      </c>
      <c r="B56" s="12" t="s">
        <v>22</v>
      </c>
      <c r="C56" s="12" t="s">
        <v>30</v>
      </c>
      <c r="D56" s="12" t="s">
        <v>21</v>
      </c>
      <c r="E56" s="13" t="n">
        <v>4</v>
      </c>
      <c r="F56" s="14" t="n">
        <v>142.41</v>
      </c>
      <c r="G56" s="14" t="n">
        <f aca="false">E56*F56</f>
        <v>569.64</v>
      </c>
      <c r="H56" s="12" t="n">
        <f aca="false">MONTH(A56)</f>
        <v>2</v>
      </c>
    </row>
    <row r="57" customFormat="false" ht="15" hidden="false" customHeight="false" outlineLevel="0" collapsed="false">
      <c r="A57" s="11" t="n">
        <v>45716</v>
      </c>
      <c r="B57" s="12" t="s">
        <v>22</v>
      </c>
      <c r="C57" s="12" t="s">
        <v>33</v>
      </c>
      <c r="D57" s="12" t="s">
        <v>24</v>
      </c>
      <c r="E57" s="13" t="n">
        <v>1</v>
      </c>
      <c r="F57" s="14" t="n">
        <v>249</v>
      </c>
      <c r="G57" s="14" t="n">
        <f aca="false">E57*F57</f>
        <v>249</v>
      </c>
      <c r="H57" s="12" t="n">
        <f aca="false">MONTH(A57)</f>
        <v>2</v>
      </c>
    </row>
    <row r="58" customFormat="false" ht="15" hidden="false" customHeight="false" outlineLevel="0" collapsed="false">
      <c r="A58" s="11" t="n">
        <v>45716</v>
      </c>
      <c r="B58" s="12" t="s">
        <v>22</v>
      </c>
      <c r="C58" s="12" t="s">
        <v>30</v>
      </c>
      <c r="D58" s="12" t="s">
        <v>27</v>
      </c>
      <c r="E58" s="13" t="n">
        <v>2</v>
      </c>
      <c r="F58" s="14" t="n">
        <v>157.4</v>
      </c>
      <c r="G58" s="14" t="n">
        <f aca="false">E58*F58</f>
        <v>314.8</v>
      </c>
      <c r="H58" s="12" t="n">
        <f aca="false">MONTH(A58)</f>
        <v>2</v>
      </c>
    </row>
    <row r="59" customFormat="false" ht="15" hidden="false" customHeight="false" outlineLevel="0" collapsed="false">
      <c r="A59" s="11" t="n">
        <v>45716</v>
      </c>
      <c r="B59" s="12" t="s">
        <v>19</v>
      </c>
      <c r="C59" s="12" t="s">
        <v>28</v>
      </c>
      <c r="D59" s="12" t="s">
        <v>38</v>
      </c>
      <c r="E59" s="13" t="n">
        <v>3</v>
      </c>
      <c r="F59" s="14" t="n">
        <v>299.9</v>
      </c>
      <c r="G59" s="14" t="n">
        <f aca="false">E59*F59</f>
        <v>899.7</v>
      </c>
      <c r="H59" s="12" t="n">
        <f aca="false">MONTH(A59)</f>
        <v>2</v>
      </c>
    </row>
    <row r="60" customFormat="false" ht="15" hidden="false" customHeight="false" outlineLevel="0" collapsed="false">
      <c r="A60" s="11" t="n">
        <v>45718</v>
      </c>
      <c r="B60" s="12" t="s">
        <v>19</v>
      </c>
      <c r="C60" s="12" t="s">
        <v>40</v>
      </c>
      <c r="D60" s="12" t="s">
        <v>27</v>
      </c>
      <c r="E60" s="13" t="n">
        <v>3</v>
      </c>
      <c r="F60" s="14" t="n">
        <v>179.9</v>
      </c>
      <c r="G60" s="14" t="n">
        <f aca="false">E60*F60</f>
        <v>539.7</v>
      </c>
      <c r="H60" s="12" t="n">
        <f aca="false">MONTH(A60)</f>
        <v>3</v>
      </c>
    </row>
    <row r="61" customFormat="false" ht="15" hidden="false" customHeight="false" outlineLevel="0" collapsed="false">
      <c r="A61" s="11" t="n">
        <v>45718</v>
      </c>
      <c r="B61" s="12" t="s">
        <v>19</v>
      </c>
      <c r="C61" s="12" t="s">
        <v>28</v>
      </c>
      <c r="D61" s="12" t="s">
        <v>27</v>
      </c>
      <c r="E61" s="13" t="n">
        <v>3</v>
      </c>
      <c r="F61" s="14" t="n">
        <v>284.9</v>
      </c>
      <c r="G61" s="14" t="n">
        <f aca="false">E61*F61</f>
        <v>854.7</v>
      </c>
      <c r="H61" s="12" t="n">
        <f aca="false">MONTH(A61)</f>
        <v>3</v>
      </c>
    </row>
    <row r="62" customFormat="false" ht="15" hidden="false" customHeight="false" outlineLevel="0" collapsed="false">
      <c r="A62" s="11" t="n">
        <v>45720</v>
      </c>
      <c r="B62" s="12" t="s">
        <v>34</v>
      </c>
      <c r="C62" s="12" t="s">
        <v>35</v>
      </c>
      <c r="D62" s="12" t="s">
        <v>27</v>
      </c>
      <c r="E62" s="13" t="n">
        <v>2</v>
      </c>
      <c r="F62" s="14" t="n">
        <v>3419.1</v>
      </c>
      <c r="G62" s="14" t="n">
        <f aca="false">E62*F62</f>
        <v>6838.2</v>
      </c>
      <c r="H62" s="12" t="n">
        <f aca="false">MONTH(A62)</f>
        <v>3</v>
      </c>
    </row>
    <row r="63" customFormat="false" ht="15" hidden="false" customHeight="false" outlineLevel="0" collapsed="false">
      <c r="A63" s="11" t="n">
        <v>45724</v>
      </c>
      <c r="B63" s="12" t="s">
        <v>19</v>
      </c>
      <c r="C63" s="12" t="s">
        <v>28</v>
      </c>
      <c r="D63" s="12" t="s">
        <v>21</v>
      </c>
      <c r="E63" s="13" t="n">
        <v>4</v>
      </c>
      <c r="F63" s="14" t="n">
        <v>299.9</v>
      </c>
      <c r="G63" s="14" t="n">
        <f aca="false">E63*F63</f>
        <v>1199.6</v>
      </c>
      <c r="H63" s="12" t="n">
        <f aca="false">MONTH(A63)</f>
        <v>3</v>
      </c>
    </row>
    <row r="64" customFormat="false" ht="15" hidden="false" customHeight="false" outlineLevel="0" collapsed="false">
      <c r="A64" s="11" t="n">
        <v>45725</v>
      </c>
      <c r="B64" s="12" t="s">
        <v>22</v>
      </c>
      <c r="C64" s="12" t="s">
        <v>39</v>
      </c>
      <c r="D64" s="12" t="s">
        <v>38</v>
      </c>
      <c r="E64" s="13" t="n">
        <v>1</v>
      </c>
      <c r="F64" s="14" t="n">
        <v>449</v>
      </c>
      <c r="G64" s="14" t="n">
        <f aca="false">E64*F64</f>
        <v>449</v>
      </c>
      <c r="H64" s="12" t="n">
        <f aca="false">MONTH(A64)</f>
        <v>3</v>
      </c>
    </row>
    <row r="65" customFormat="false" ht="15" hidden="false" customHeight="false" outlineLevel="0" collapsed="false">
      <c r="A65" s="11" t="n">
        <v>45725</v>
      </c>
      <c r="B65" s="12" t="s">
        <v>22</v>
      </c>
      <c r="C65" s="12" t="s">
        <v>30</v>
      </c>
      <c r="D65" s="12" t="s">
        <v>38</v>
      </c>
      <c r="E65" s="13" t="n">
        <v>2</v>
      </c>
      <c r="F65" s="14" t="n">
        <v>149.9</v>
      </c>
      <c r="G65" s="14" t="n">
        <f aca="false">E65*F65</f>
        <v>299.8</v>
      </c>
      <c r="H65" s="12" t="n">
        <f aca="false">MONTH(A65)</f>
        <v>3</v>
      </c>
    </row>
    <row r="66" customFormat="false" ht="15" hidden="false" customHeight="false" outlineLevel="0" collapsed="false">
      <c r="A66" s="11" t="n">
        <v>45725</v>
      </c>
      <c r="B66" s="12" t="s">
        <v>19</v>
      </c>
      <c r="C66" s="12" t="s">
        <v>28</v>
      </c>
      <c r="D66" s="12" t="s">
        <v>21</v>
      </c>
      <c r="E66" s="13" t="n">
        <v>3</v>
      </c>
      <c r="F66" s="14" t="n">
        <v>284.9</v>
      </c>
      <c r="G66" s="14" t="n">
        <f aca="false">E66*F66</f>
        <v>854.7</v>
      </c>
      <c r="H66" s="12" t="n">
        <f aca="false">MONTH(A66)</f>
        <v>3</v>
      </c>
    </row>
    <row r="67" customFormat="false" ht="15" hidden="false" customHeight="false" outlineLevel="0" collapsed="false">
      <c r="A67" s="11" t="n">
        <v>45729</v>
      </c>
      <c r="B67" s="12" t="s">
        <v>19</v>
      </c>
      <c r="C67" s="12" t="s">
        <v>20</v>
      </c>
      <c r="D67" s="12" t="s">
        <v>21</v>
      </c>
      <c r="E67" s="13" t="n">
        <v>2</v>
      </c>
      <c r="F67" s="14" t="n">
        <v>259.9</v>
      </c>
      <c r="G67" s="14" t="n">
        <f aca="false">E67*F67</f>
        <v>519.8</v>
      </c>
      <c r="H67" s="12" t="n">
        <f aca="false">MONTH(A67)</f>
        <v>3</v>
      </c>
    </row>
    <row r="68" customFormat="false" ht="15" hidden="false" customHeight="false" outlineLevel="0" collapsed="false">
      <c r="A68" s="11" t="n">
        <v>45730</v>
      </c>
      <c r="B68" s="12" t="s">
        <v>22</v>
      </c>
      <c r="C68" s="12" t="s">
        <v>33</v>
      </c>
      <c r="D68" s="12" t="s">
        <v>38</v>
      </c>
      <c r="E68" s="13" t="n">
        <v>3</v>
      </c>
      <c r="F68" s="14" t="n">
        <v>224.1</v>
      </c>
      <c r="G68" s="14" t="n">
        <f aca="false">E68*F68</f>
        <v>672.3</v>
      </c>
      <c r="H68" s="12" t="n">
        <f aca="false">MONTH(A68)</f>
        <v>3</v>
      </c>
    </row>
    <row r="69" customFormat="false" ht="15" hidden="false" customHeight="false" outlineLevel="0" collapsed="false">
      <c r="A69" s="11" t="n">
        <v>45731</v>
      </c>
      <c r="B69" s="12" t="s">
        <v>19</v>
      </c>
      <c r="C69" s="12" t="s">
        <v>26</v>
      </c>
      <c r="D69" s="12" t="s">
        <v>32</v>
      </c>
      <c r="E69" s="13" t="n">
        <v>2</v>
      </c>
      <c r="F69" s="14" t="n">
        <v>293.89</v>
      </c>
      <c r="G69" s="14" t="n">
        <f aca="false">E69*F69</f>
        <v>587.78</v>
      </c>
      <c r="H69" s="12" t="n">
        <f aca="false">MONTH(A69)</f>
        <v>3</v>
      </c>
    </row>
    <row r="70" customFormat="false" ht="15" hidden="false" customHeight="false" outlineLevel="0" collapsed="false">
      <c r="A70" s="11" t="n">
        <v>45732</v>
      </c>
      <c r="B70" s="12" t="s">
        <v>19</v>
      </c>
      <c r="C70" s="12" t="s">
        <v>28</v>
      </c>
      <c r="D70" s="12" t="s">
        <v>38</v>
      </c>
      <c r="E70" s="13" t="n">
        <v>1</v>
      </c>
      <c r="F70" s="14" t="n">
        <v>269.91</v>
      </c>
      <c r="G70" s="14" t="n">
        <f aca="false">E70*F70</f>
        <v>269.91</v>
      </c>
      <c r="H70" s="12" t="n">
        <f aca="false">MONTH(A70)</f>
        <v>3</v>
      </c>
    </row>
    <row r="71" customFormat="false" ht="15" hidden="false" customHeight="false" outlineLevel="0" collapsed="false">
      <c r="A71" s="11" t="n">
        <v>45733</v>
      </c>
      <c r="B71" s="12" t="s">
        <v>19</v>
      </c>
      <c r="C71" s="12" t="s">
        <v>28</v>
      </c>
      <c r="D71" s="12" t="s">
        <v>21</v>
      </c>
      <c r="E71" s="13" t="n">
        <v>1</v>
      </c>
      <c r="F71" s="14" t="n">
        <v>299.9</v>
      </c>
      <c r="G71" s="14" t="n">
        <f aca="false">E71*F71</f>
        <v>299.9</v>
      </c>
      <c r="H71" s="12" t="n">
        <f aca="false">MONTH(A71)</f>
        <v>3</v>
      </c>
    </row>
    <row r="72" customFormat="false" ht="15" hidden="false" customHeight="false" outlineLevel="0" collapsed="false">
      <c r="A72" s="11" t="n">
        <v>45734</v>
      </c>
      <c r="B72" s="12" t="s">
        <v>19</v>
      </c>
      <c r="C72" s="12" t="s">
        <v>42</v>
      </c>
      <c r="D72" s="12" t="s">
        <v>27</v>
      </c>
      <c r="E72" s="13" t="n">
        <v>1</v>
      </c>
      <c r="F72" s="14" t="n">
        <v>149.9</v>
      </c>
      <c r="G72" s="14" t="n">
        <f aca="false">E72*F72</f>
        <v>149.9</v>
      </c>
      <c r="H72" s="12" t="n">
        <f aca="false">MONTH(A72)</f>
        <v>3</v>
      </c>
    </row>
    <row r="73" customFormat="false" ht="15" hidden="false" customHeight="false" outlineLevel="0" collapsed="false">
      <c r="A73" s="11" t="n">
        <v>45736</v>
      </c>
      <c r="B73" s="12" t="s">
        <v>19</v>
      </c>
      <c r="C73" s="12" t="s">
        <v>28</v>
      </c>
      <c r="D73" s="12" t="s">
        <v>27</v>
      </c>
      <c r="E73" s="13" t="n">
        <v>3</v>
      </c>
      <c r="F73" s="14" t="n">
        <v>284.9</v>
      </c>
      <c r="G73" s="14" t="n">
        <f aca="false">E73*F73</f>
        <v>854.7</v>
      </c>
      <c r="H73" s="12" t="n">
        <f aca="false">MONTH(A73)</f>
        <v>3</v>
      </c>
    </row>
    <row r="74" customFormat="false" ht="15" hidden="false" customHeight="false" outlineLevel="0" collapsed="false">
      <c r="A74" s="11" t="n">
        <v>45736</v>
      </c>
      <c r="B74" s="12" t="s">
        <v>22</v>
      </c>
      <c r="C74" s="12" t="s">
        <v>39</v>
      </c>
      <c r="D74" s="12" t="s">
        <v>21</v>
      </c>
      <c r="E74" s="13" t="n">
        <v>1</v>
      </c>
      <c r="F74" s="14" t="n">
        <v>404.1</v>
      </c>
      <c r="G74" s="14" t="n">
        <f aca="false">E74*F74</f>
        <v>404.1</v>
      </c>
      <c r="H74" s="12" t="n">
        <f aca="false">MONTH(A74)</f>
        <v>3</v>
      </c>
    </row>
    <row r="75" customFormat="false" ht="15" hidden="false" customHeight="false" outlineLevel="0" collapsed="false">
      <c r="A75" s="11" t="n">
        <v>45736</v>
      </c>
      <c r="B75" s="12" t="s">
        <v>19</v>
      </c>
      <c r="C75" s="12" t="s">
        <v>31</v>
      </c>
      <c r="D75" s="12" t="s">
        <v>27</v>
      </c>
      <c r="E75" s="13" t="n">
        <v>4</v>
      </c>
      <c r="F75" s="14" t="n">
        <v>314.91</v>
      </c>
      <c r="G75" s="14" t="n">
        <f aca="false">E75*F75</f>
        <v>1259.64</v>
      </c>
      <c r="H75" s="12" t="n">
        <f aca="false">MONTH(A75)</f>
        <v>3</v>
      </c>
    </row>
    <row r="76" customFormat="false" ht="15" hidden="false" customHeight="false" outlineLevel="0" collapsed="false">
      <c r="A76" s="11" t="n">
        <v>45737</v>
      </c>
      <c r="B76" s="12" t="s">
        <v>22</v>
      </c>
      <c r="C76" s="12" t="s">
        <v>33</v>
      </c>
      <c r="D76" s="12" t="s">
        <v>38</v>
      </c>
      <c r="E76" s="13" t="n">
        <v>5</v>
      </c>
      <c r="F76" s="14" t="n">
        <v>249</v>
      </c>
      <c r="G76" s="14" t="n">
        <f aca="false">E76*F76</f>
        <v>1245</v>
      </c>
      <c r="H76" s="12" t="n">
        <f aca="false">MONTH(A76)</f>
        <v>3</v>
      </c>
    </row>
    <row r="77" customFormat="false" ht="15" hidden="false" customHeight="false" outlineLevel="0" collapsed="false">
      <c r="A77" s="11" t="n">
        <v>45739</v>
      </c>
      <c r="B77" s="12" t="s">
        <v>22</v>
      </c>
      <c r="C77" s="12" t="s">
        <v>23</v>
      </c>
      <c r="D77" s="12" t="s">
        <v>21</v>
      </c>
      <c r="E77" s="13" t="n">
        <v>1</v>
      </c>
      <c r="F77" s="14" t="n">
        <v>229</v>
      </c>
      <c r="G77" s="14" t="n">
        <f aca="false">E77*F77</f>
        <v>229</v>
      </c>
      <c r="H77" s="12" t="n">
        <f aca="false">MONTH(A77)</f>
        <v>3</v>
      </c>
    </row>
    <row r="78" customFormat="false" ht="15" hidden="false" customHeight="false" outlineLevel="0" collapsed="false">
      <c r="A78" s="11" t="n">
        <v>45742</v>
      </c>
      <c r="B78" s="12" t="s">
        <v>19</v>
      </c>
      <c r="C78" s="12" t="s">
        <v>40</v>
      </c>
      <c r="D78" s="12" t="s">
        <v>21</v>
      </c>
      <c r="E78" s="13" t="n">
        <v>3</v>
      </c>
      <c r="F78" s="14" t="n">
        <v>161.91</v>
      </c>
      <c r="G78" s="14" t="n">
        <f aca="false">E78*F78</f>
        <v>485.73</v>
      </c>
      <c r="H78" s="12" t="n">
        <f aca="false">MONTH(A78)</f>
        <v>3</v>
      </c>
    </row>
    <row r="79" customFormat="false" ht="15" hidden="false" customHeight="false" outlineLevel="0" collapsed="false">
      <c r="A79" s="11" t="n">
        <v>45742</v>
      </c>
      <c r="B79" s="12" t="s">
        <v>22</v>
      </c>
      <c r="C79" s="12" t="s">
        <v>39</v>
      </c>
      <c r="D79" s="12" t="s">
        <v>21</v>
      </c>
      <c r="E79" s="13" t="n">
        <v>2</v>
      </c>
      <c r="F79" s="14" t="n">
        <v>449</v>
      </c>
      <c r="G79" s="14" t="n">
        <f aca="false">E79*F79</f>
        <v>898</v>
      </c>
      <c r="H79" s="12" t="n">
        <f aca="false">MONTH(A79)</f>
        <v>3</v>
      </c>
    </row>
    <row r="80" customFormat="false" ht="15" hidden="false" customHeight="false" outlineLevel="0" collapsed="false">
      <c r="A80" s="11" t="n">
        <v>45743</v>
      </c>
      <c r="B80" s="12" t="s">
        <v>19</v>
      </c>
      <c r="C80" s="12" t="s">
        <v>20</v>
      </c>
      <c r="D80" s="12" t="s">
        <v>21</v>
      </c>
      <c r="E80" s="13" t="n">
        <v>1</v>
      </c>
      <c r="F80" s="14" t="n">
        <v>259.9</v>
      </c>
      <c r="G80" s="14" t="n">
        <f aca="false">E80*F80</f>
        <v>259.9</v>
      </c>
      <c r="H80" s="12" t="n">
        <f aca="false">MONTH(A80)</f>
        <v>3</v>
      </c>
    </row>
    <row r="81" customFormat="false" ht="15" hidden="false" customHeight="false" outlineLevel="0" collapsed="false">
      <c r="A81" s="11" t="n">
        <v>45744</v>
      </c>
      <c r="B81" s="12" t="s">
        <v>19</v>
      </c>
      <c r="C81" s="12" t="s">
        <v>28</v>
      </c>
      <c r="D81" s="12" t="s">
        <v>21</v>
      </c>
      <c r="E81" s="13" t="n">
        <v>2</v>
      </c>
      <c r="F81" s="14" t="n">
        <v>284.9</v>
      </c>
      <c r="G81" s="14" t="n">
        <f aca="false">E81*F81</f>
        <v>569.8</v>
      </c>
      <c r="H81" s="12" t="n">
        <f aca="false">MONTH(A81)</f>
        <v>3</v>
      </c>
    </row>
    <row r="82" customFormat="false" ht="15" hidden="false" customHeight="false" outlineLevel="0" collapsed="false">
      <c r="A82" s="11" t="n">
        <v>45746</v>
      </c>
      <c r="B82" s="12" t="s">
        <v>34</v>
      </c>
      <c r="C82" s="12" t="s">
        <v>41</v>
      </c>
      <c r="D82" s="12" t="s">
        <v>27</v>
      </c>
      <c r="E82" s="13" t="n">
        <v>1</v>
      </c>
      <c r="F82" s="14" t="n">
        <v>1424.05</v>
      </c>
      <c r="G82" s="14" t="n">
        <f aca="false">E82*F82</f>
        <v>1424.05</v>
      </c>
      <c r="H82" s="12" t="n">
        <f aca="false">MONTH(A82)</f>
        <v>3</v>
      </c>
    </row>
    <row r="83" customFormat="false" ht="15" hidden="false" customHeight="false" outlineLevel="0" collapsed="false">
      <c r="A83" s="11" t="n">
        <v>45749</v>
      </c>
      <c r="B83" s="12" t="s">
        <v>19</v>
      </c>
      <c r="C83" s="12" t="s">
        <v>31</v>
      </c>
      <c r="D83" s="12" t="s">
        <v>21</v>
      </c>
      <c r="E83" s="13" t="n">
        <v>2</v>
      </c>
      <c r="F83" s="14" t="n">
        <v>349.9</v>
      </c>
      <c r="G83" s="14" t="n">
        <f aca="false">E83*F83</f>
        <v>699.8</v>
      </c>
      <c r="H83" s="12" t="n">
        <f aca="false">MONTH(A83)</f>
        <v>4</v>
      </c>
    </row>
    <row r="84" customFormat="false" ht="15" hidden="false" customHeight="false" outlineLevel="0" collapsed="false">
      <c r="A84" s="11" t="n">
        <v>45751</v>
      </c>
      <c r="B84" s="12" t="s">
        <v>22</v>
      </c>
      <c r="C84" s="12" t="s">
        <v>39</v>
      </c>
      <c r="D84" s="12" t="s">
        <v>32</v>
      </c>
      <c r="E84" s="13" t="n">
        <v>4</v>
      </c>
      <c r="F84" s="14" t="n">
        <v>449</v>
      </c>
      <c r="G84" s="14" t="n">
        <f aca="false">E84*F84</f>
        <v>1796</v>
      </c>
      <c r="H84" s="12" t="n">
        <f aca="false">MONTH(A84)</f>
        <v>4</v>
      </c>
    </row>
    <row r="85" customFormat="false" ht="15" hidden="false" customHeight="false" outlineLevel="0" collapsed="false">
      <c r="A85" s="11" t="n">
        <v>45756</v>
      </c>
      <c r="B85" s="12" t="s">
        <v>19</v>
      </c>
      <c r="C85" s="12" t="s">
        <v>28</v>
      </c>
      <c r="D85" s="12" t="s">
        <v>21</v>
      </c>
      <c r="E85" s="13" t="n">
        <v>3</v>
      </c>
      <c r="F85" s="14" t="n">
        <v>299.9</v>
      </c>
      <c r="G85" s="14" t="n">
        <f aca="false">E85*F85</f>
        <v>899.7</v>
      </c>
      <c r="H85" s="12" t="n">
        <f aca="false">MONTH(A85)</f>
        <v>4</v>
      </c>
    </row>
    <row r="86" customFormat="false" ht="15" hidden="false" customHeight="false" outlineLevel="0" collapsed="false">
      <c r="A86" s="11" t="n">
        <v>45756</v>
      </c>
      <c r="B86" s="12" t="s">
        <v>19</v>
      </c>
      <c r="C86" s="12" t="s">
        <v>28</v>
      </c>
      <c r="D86" s="12" t="s">
        <v>21</v>
      </c>
      <c r="E86" s="13" t="n">
        <v>1</v>
      </c>
      <c r="F86" s="14" t="n">
        <v>299.9</v>
      </c>
      <c r="G86" s="14" t="n">
        <f aca="false">E86*F86</f>
        <v>299.9</v>
      </c>
      <c r="H86" s="12" t="n">
        <f aca="false">MONTH(A86)</f>
        <v>4</v>
      </c>
    </row>
    <row r="87" customFormat="false" ht="15" hidden="false" customHeight="false" outlineLevel="0" collapsed="false">
      <c r="A87" s="11" t="n">
        <v>45757</v>
      </c>
      <c r="B87" s="12" t="s">
        <v>22</v>
      </c>
      <c r="C87" s="12" t="s">
        <v>30</v>
      </c>
      <c r="D87" s="12" t="s">
        <v>27</v>
      </c>
      <c r="E87" s="13" t="n">
        <v>1</v>
      </c>
      <c r="F87" s="14" t="n">
        <v>157.4</v>
      </c>
      <c r="G87" s="14" t="n">
        <f aca="false">E87*F87</f>
        <v>157.4</v>
      </c>
      <c r="H87" s="12" t="n">
        <f aca="false">MONTH(A87)</f>
        <v>4</v>
      </c>
    </row>
    <row r="88" customFormat="false" ht="15" hidden="false" customHeight="false" outlineLevel="0" collapsed="false">
      <c r="A88" s="11" t="n">
        <v>45757</v>
      </c>
      <c r="B88" s="12" t="s">
        <v>19</v>
      </c>
      <c r="C88" s="12" t="s">
        <v>20</v>
      </c>
      <c r="D88" s="12" t="s">
        <v>27</v>
      </c>
      <c r="E88" s="13" t="n">
        <v>1</v>
      </c>
      <c r="F88" s="14" t="n">
        <v>233.91</v>
      </c>
      <c r="G88" s="14" t="n">
        <f aca="false">E88*F88</f>
        <v>233.91</v>
      </c>
      <c r="H88" s="12" t="n">
        <f aca="false">MONTH(A88)</f>
        <v>4</v>
      </c>
    </row>
    <row r="89" customFormat="false" ht="15" hidden="false" customHeight="false" outlineLevel="0" collapsed="false">
      <c r="A89" s="11" t="n">
        <v>45759</v>
      </c>
      <c r="B89" s="12" t="s">
        <v>22</v>
      </c>
      <c r="C89" s="12" t="s">
        <v>30</v>
      </c>
      <c r="D89" s="12" t="s">
        <v>21</v>
      </c>
      <c r="E89" s="13" t="n">
        <v>1</v>
      </c>
      <c r="F89" s="14" t="n">
        <v>149.9</v>
      </c>
      <c r="G89" s="14" t="n">
        <f aca="false">E89*F89</f>
        <v>149.9</v>
      </c>
      <c r="H89" s="12" t="n">
        <f aca="false">MONTH(A89)</f>
        <v>4</v>
      </c>
    </row>
    <row r="90" customFormat="false" ht="15" hidden="false" customHeight="false" outlineLevel="0" collapsed="false">
      <c r="A90" s="11" t="n">
        <v>45762</v>
      </c>
      <c r="B90" s="12" t="s">
        <v>19</v>
      </c>
      <c r="C90" s="12" t="s">
        <v>28</v>
      </c>
      <c r="D90" s="12" t="s">
        <v>21</v>
      </c>
      <c r="E90" s="13" t="n">
        <v>3</v>
      </c>
      <c r="F90" s="14" t="n">
        <v>314.89</v>
      </c>
      <c r="G90" s="14" t="n">
        <f aca="false">E90*F90</f>
        <v>944.67</v>
      </c>
      <c r="H90" s="12" t="n">
        <f aca="false">MONTH(A90)</f>
        <v>4</v>
      </c>
    </row>
    <row r="91" customFormat="false" ht="15" hidden="false" customHeight="false" outlineLevel="0" collapsed="false">
      <c r="A91" s="11" t="n">
        <v>45766</v>
      </c>
      <c r="B91" s="12" t="s">
        <v>19</v>
      </c>
      <c r="C91" s="12" t="s">
        <v>42</v>
      </c>
      <c r="D91" s="12" t="s">
        <v>32</v>
      </c>
      <c r="E91" s="13" t="n">
        <v>1</v>
      </c>
      <c r="F91" s="14" t="n">
        <v>134.91</v>
      </c>
      <c r="G91" s="14" t="n">
        <f aca="false">E91*F91</f>
        <v>134.91</v>
      </c>
      <c r="H91" s="12" t="n">
        <f aca="false">MONTH(A91)</f>
        <v>4</v>
      </c>
    </row>
    <row r="92" customFormat="false" ht="15" hidden="false" customHeight="false" outlineLevel="0" collapsed="false">
      <c r="A92" s="11" t="n">
        <v>45766</v>
      </c>
      <c r="B92" s="12" t="s">
        <v>34</v>
      </c>
      <c r="C92" s="12" t="s">
        <v>36</v>
      </c>
      <c r="D92" s="12" t="s">
        <v>21</v>
      </c>
      <c r="E92" s="13" t="n">
        <v>1</v>
      </c>
      <c r="F92" s="14" t="n">
        <v>2089.05</v>
      </c>
      <c r="G92" s="14" t="n">
        <f aca="false">E92*F92</f>
        <v>2089.05</v>
      </c>
      <c r="H92" s="12" t="n">
        <f aca="false">MONTH(A92)</f>
        <v>4</v>
      </c>
    </row>
    <row r="93" customFormat="false" ht="15" hidden="false" customHeight="false" outlineLevel="0" collapsed="false">
      <c r="A93" s="11" t="n">
        <v>45767</v>
      </c>
      <c r="B93" s="12" t="s">
        <v>22</v>
      </c>
      <c r="C93" s="12" t="s">
        <v>23</v>
      </c>
      <c r="D93" s="12" t="s">
        <v>32</v>
      </c>
      <c r="E93" s="13" t="n">
        <v>5</v>
      </c>
      <c r="F93" s="14" t="n">
        <v>229</v>
      </c>
      <c r="G93" s="14" t="n">
        <f aca="false">E93*F93</f>
        <v>1145</v>
      </c>
      <c r="H93" s="12" t="n">
        <f aca="false">MONTH(A93)</f>
        <v>4</v>
      </c>
    </row>
    <row r="94" customFormat="false" ht="15" hidden="false" customHeight="false" outlineLevel="0" collapsed="false">
      <c r="A94" s="11" t="n">
        <v>45769</v>
      </c>
      <c r="B94" s="12" t="s">
        <v>19</v>
      </c>
      <c r="C94" s="12" t="s">
        <v>31</v>
      </c>
      <c r="D94" s="12" t="s">
        <v>32</v>
      </c>
      <c r="E94" s="13" t="n">
        <v>1</v>
      </c>
      <c r="F94" s="14" t="n">
        <v>332.4</v>
      </c>
      <c r="G94" s="14" t="n">
        <f aca="false">E94*F94</f>
        <v>332.4</v>
      </c>
      <c r="H94" s="12" t="n">
        <f aca="false">MONTH(A94)</f>
        <v>4</v>
      </c>
    </row>
    <row r="95" customFormat="false" ht="15" hidden="false" customHeight="false" outlineLevel="0" collapsed="false">
      <c r="A95" s="11" t="n">
        <v>45770</v>
      </c>
      <c r="B95" s="12" t="s">
        <v>19</v>
      </c>
      <c r="C95" s="12" t="s">
        <v>31</v>
      </c>
      <c r="D95" s="12" t="s">
        <v>27</v>
      </c>
      <c r="E95" s="13" t="n">
        <v>1</v>
      </c>
      <c r="F95" s="14" t="n">
        <v>349.9</v>
      </c>
      <c r="G95" s="14" t="n">
        <f aca="false">E95*F95</f>
        <v>349.9</v>
      </c>
      <c r="H95" s="12" t="n">
        <f aca="false">MONTH(A95)</f>
        <v>4</v>
      </c>
    </row>
    <row r="96" customFormat="false" ht="15" hidden="false" customHeight="false" outlineLevel="0" collapsed="false">
      <c r="A96" s="11" t="n">
        <v>45770</v>
      </c>
      <c r="B96" s="12" t="s">
        <v>19</v>
      </c>
      <c r="C96" s="12" t="s">
        <v>31</v>
      </c>
      <c r="D96" s="12" t="s">
        <v>32</v>
      </c>
      <c r="E96" s="13" t="n">
        <v>3</v>
      </c>
      <c r="F96" s="14" t="n">
        <v>367.39</v>
      </c>
      <c r="G96" s="14" t="n">
        <f aca="false">E96*F96</f>
        <v>1102.17</v>
      </c>
      <c r="H96" s="12" t="n">
        <f aca="false">MONTH(A96)</f>
        <v>4</v>
      </c>
    </row>
    <row r="97" customFormat="false" ht="15" hidden="false" customHeight="false" outlineLevel="0" collapsed="false">
      <c r="A97" s="11" t="n">
        <v>45771</v>
      </c>
      <c r="B97" s="12" t="s">
        <v>19</v>
      </c>
      <c r="C97" s="12" t="s">
        <v>28</v>
      </c>
      <c r="D97" s="12" t="s">
        <v>21</v>
      </c>
      <c r="E97" s="13" t="n">
        <v>2</v>
      </c>
      <c r="F97" s="14" t="n">
        <v>284.9</v>
      </c>
      <c r="G97" s="14" t="n">
        <f aca="false">E97*F97</f>
        <v>569.8</v>
      </c>
      <c r="H97" s="12" t="n">
        <f aca="false">MONTH(A97)</f>
        <v>4</v>
      </c>
    </row>
    <row r="98" customFormat="false" ht="15" hidden="false" customHeight="false" outlineLevel="0" collapsed="false">
      <c r="A98" s="11" t="n">
        <v>45772</v>
      </c>
      <c r="B98" s="12" t="s">
        <v>19</v>
      </c>
      <c r="C98" s="12" t="s">
        <v>37</v>
      </c>
      <c r="D98" s="12" t="s">
        <v>32</v>
      </c>
      <c r="E98" s="13" t="n">
        <v>4</v>
      </c>
      <c r="F98" s="14" t="n">
        <v>199.9</v>
      </c>
      <c r="G98" s="14" t="n">
        <f aca="false">E98*F98</f>
        <v>799.6</v>
      </c>
      <c r="H98" s="12" t="n">
        <f aca="false">MONTH(A98)</f>
        <v>4</v>
      </c>
    </row>
    <row r="99" customFormat="false" ht="15" hidden="false" customHeight="false" outlineLevel="0" collapsed="false">
      <c r="A99" s="11" t="n">
        <v>45774</v>
      </c>
      <c r="B99" s="12" t="s">
        <v>19</v>
      </c>
      <c r="C99" s="12" t="s">
        <v>20</v>
      </c>
      <c r="D99" s="12" t="s">
        <v>21</v>
      </c>
      <c r="E99" s="13" t="n">
        <v>3</v>
      </c>
      <c r="F99" s="14" t="n">
        <v>259.9</v>
      </c>
      <c r="G99" s="14" t="n">
        <f aca="false">E99*F99</f>
        <v>779.7</v>
      </c>
      <c r="H99" s="12" t="n">
        <f aca="false">MONTH(A99)</f>
        <v>4</v>
      </c>
    </row>
    <row r="100" customFormat="false" ht="15" hidden="false" customHeight="false" outlineLevel="0" collapsed="false">
      <c r="A100" s="11" t="n">
        <v>45777</v>
      </c>
      <c r="B100" s="12" t="s">
        <v>22</v>
      </c>
      <c r="C100" s="12" t="s">
        <v>29</v>
      </c>
      <c r="D100" s="12" t="s">
        <v>32</v>
      </c>
      <c r="E100" s="13" t="n">
        <v>4</v>
      </c>
      <c r="F100" s="14" t="n">
        <v>116.1</v>
      </c>
      <c r="G100" s="14" t="n">
        <f aca="false">E100*F100</f>
        <v>464.4</v>
      </c>
      <c r="H100" s="12" t="n">
        <f aca="false">MONTH(A100)</f>
        <v>4</v>
      </c>
    </row>
    <row r="101" customFormat="false" ht="15" hidden="false" customHeight="false" outlineLevel="0" collapsed="false">
      <c r="A101" s="11" t="n">
        <v>45777</v>
      </c>
      <c r="B101" s="12" t="s">
        <v>22</v>
      </c>
      <c r="C101" s="12" t="s">
        <v>30</v>
      </c>
      <c r="D101" s="12" t="s">
        <v>21</v>
      </c>
      <c r="E101" s="13" t="n">
        <v>3</v>
      </c>
      <c r="F101" s="14" t="n">
        <v>157.4</v>
      </c>
      <c r="G101" s="14" t="n">
        <f aca="false">E101*F101</f>
        <v>472.2</v>
      </c>
      <c r="H101" s="12" t="n">
        <f aca="false">MONTH(A101)</f>
        <v>4</v>
      </c>
    </row>
    <row r="102" customFormat="false" ht="15" hidden="false" customHeight="false" outlineLevel="0" collapsed="false">
      <c r="A102" s="11" t="n">
        <v>45778</v>
      </c>
      <c r="B102" s="12" t="s">
        <v>19</v>
      </c>
      <c r="C102" s="12" t="s">
        <v>25</v>
      </c>
      <c r="D102" s="12" t="s">
        <v>21</v>
      </c>
      <c r="E102" s="13" t="n">
        <v>1</v>
      </c>
      <c r="F102" s="14" t="n">
        <v>249.9</v>
      </c>
      <c r="G102" s="14" t="n">
        <f aca="false">E102*F102</f>
        <v>249.9</v>
      </c>
      <c r="H102" s="12" t="n">
        <f aca="false">MONTH(A102)</f>
        <v>5</v>
      </c>
    </row>
    <row r="103" customFormat="false" ht="15" hidden="false" customHeight="false" outlineLevel="0" collapsed="false">
      <c r="A103" s="11" t="n">
        <v>45780</v>
      </c>
      <c r="B103" s="12" t="s">
        <v>34</v>
      </c>
      <c r="C103" s="12" t="s">
        <v>41</v>
      </c>
      <c r="D103" s="12" t="s">
        <v>24</v>
      </c>
      <c r="E103" s="13" t="n">
        <v>1</v>
      </c>
      <c r="F103" s="14" t="n">
        <v>1349.1</v>
      </c>
      <c r="G103" s="14" t="n">
        <f aca="false">E103*F103</f>
        <v>1349.1</v>
      </c>
      <c r="H103" s="12" t="n">
        <f aca="false">MONTH(A103)</f>
        <v>5</v>
      </c>
    </row>
    <row r="104" customFormat="false" ht="15" hidden="false" customHeight="false" outlineLevel="0" collapsed="false">
      <c r="A104" s="11" t="n">
        <v>45783</v>
      </c>
      <c r="B104" s="12" t="s">
        <v>34</v>
      </c>
      <c r="C104" s="12" t="s">
        <v>36</v>
      </c>
      <c r="D104" s="12" t="s">
        <v>21</v>
      </c>
      <c r="E104" s="13" t="n">
        <v>2</v>
      </c>
      <c r="F104" s="14" t="n">
        <v>2308.95</v>
      </c>
      <c r="G104" s="14" t="n">
        <f aca="false">E104*F104</f>
        <v>4617.9</v>
      </c>
      <c r="H104" s="12" t="n">
        <f aca="false">MONTH(A104)</f>
        <v>5</v>
      </c>
    </row>
    <row r="105" customFormat="false" ht="15" hidden="false" customHeight="false" outlineLevel="0" collapsed="false">
      <c r="A105" s="11" t="n">
        <v>45783</v>
      </c>
      <c r="B105" s="12" t="s">
        <v>19</v>
      </c>
      <c r="C105" s="12" t="s">
        <v>28</v>
      </c>
      <c r="D105" s="12" t="s">
        <v>21</v>
      </c>
      <c r="E105" s="13" t="n">
        <v>1</v>
      </c>
      <c r="F105" s="14" t="n">
        <v>269.91</v>
      </c>
      <c r="G105" s="14" t="n">
        <f aca="false">E105*F105</f>
        <v>269.91</v>
      </c>
      <c r="H105" s="12" t="n">
        <f aca="false">MONTH(A105)</f>
        <v>5</v>
      </c>
    </row>
    <row r="106" customFormat="false" ht="15" hidden="false" customHeight="false" outlineLevel="0" collapsed="false">
      <c r="A106" s="11" t="n">
        <v>45784</v>
      </c>
      <c r="B106" s="12" t="s">
        <v>19</v>
      </c>
      <c r="C106" s="12" t="s">
        <v>37</v>
      </c>
      <c r="D106" s="12" t="s">
        <v>27</v>
      </c>
      <c r="E106" s="13" t="n">
        <v>1</v>
      </c>
      <c r="F106" s="14" t="n">
        <v>189.91</v>
      </c>
      <c r="G106" s="14" t="n">
        <f aca="false">E106*F106</f>
        <v>189.91</v>
      </c>
      <c r="H106" s="12" t="n">
        <f aca="false">MONTH(A106)</f>
        <v>5</v>
      </c>
    </row>
    <row r="107" customFormat="false" ht="15" hidden="false" customHeight="false" outlineLevel="0" collapsed="false">
      <c r="A107" s="11" t="n">
        <v>45785</v>
      </c>
      <c r="B107" s="12" t="s">
        <v>34</v>
      </c>
      <c r="C107" s="12" t="s">
        <v>41</v>
      </c>
      <c r="D107" s="12" t="s">
        <v>27</v>
      </c>
      <c r="E107" s="13" t="n">
        <v>1</v>
      </c>
      <c r="F107" s="14" t="n">
        <v>1499</v>
      </c>
      <c r="G107" s="14" t="n">
        <f aca="false">E107*F107</f>
        <v>1499</v>
      </c>
      <c r="H107" s="12" t="n">
        <f aca="false">MONTH(A107)</f>
        <v>5</v>
      </c>
    </row>
    <row r="108" customFormat="false" ht="15" hidden="false" customHeight="false" outlineLevel="0" collapsed="false">
      <c r="A108" s="11" t="n">
        <v>45786</v>
      </c>
      <c r="B108" s="12" t="s">
        <v>34</v>
      </c>
      <c r="C108" s="12" t="s">
        <v>36</v>
      </c>
      <c r="D108" s="12" t="s">
        <v>38</v>
      </c>
      <c r="E108" s="13" t="n">
        <v>1</v>
      </c>
      <c r="F108" s="14" t="n">
        <v>2199</v>
      </c>
      <c r="G108" s="14" t="n">
        <f aca="false">E108*F108</f>
        <v>2199</v>
      </c>
      <c r="H108" s="12" t="n">
        <f aca="false">MONTH(A108)</f>
        <v>5</v>
      </c>
    </row>
    <row r="109" customFormat="false" ht="15" hidden="false" customHeight="false" outlineLevel="0" collapsed="false">
      <c r="A109" s="11" t="n">
        <v>45787</v>
      </c>
      <c r="B109" s="12" t="s">
        <v>22</v>
      </c>
      <c r="C109" s="12" t="s">
        <v>30</v>
      </c>
      <c r="D109" s="12" t="s">
        <v>21</v>
      </c>
      <c r="E109" s="13" t="n">
        <v>2</v>
      </c>
      <c r="F109" s="14" t="n">
        <v>149.9</v>
      </c>
      <c r="G109" s="14" t="n">
        <f aca="false">E109*F109</f>
        <v>299.8</v>
      </c>
      <c r="H109" s="12" t="n">
        <f aca="false">MONTH(A109)</f>
        <v>5</v>
      </c>
    </row>
    <row r="110" customFormat="false" ht="15" hidden="false" customHeight="false" outlineLevel="0" collapsed="false">
      <c r="A110" s="11" t="n">
        <v>45787</v>
      </c>
      <c r="B110" s="12" t="s">
        <v>22</v>
      </c>
      <c r="C110" s="12" t="s">
        <v>23</v>
      </c>
      <c r="D110" s="12" t="s">
        <v>32</v>
      </c>
      <c r="E110" s="13" t="n">
        <v>1</v>
      </c>
      <c r="F110" s="14" t="n">
        <v>240.45</v>
      </c>
      <c r="G110" s="14" t="n">
        <f aca="false">E110*F110</f>
        <v>240.45</v>
      </c>
      <c r="H110" s="12" t="n">
        <f aca="false">MONTH(A110)</f>
        <v>5</v>
      </c>
    </row>
    <row r="111" customFormat="false" ht="15" hidden="false" customHeight="false" outlineLevel="0" collapsed="false">
      <c r="A111" s="11" t="n">
        <v>45793</v>
      </c>
      <c r="B111" s="12" t="s">
        <v>19</v>
      </c>
      <c r="C111" s="12" t="s">
        <v>31</v>
      </c>
      <c r="D111" s="12" t="s">
        <v>27</v>
      </c>
      <c r="E111" s="13" t="n">
        <v>4</v>
      </c>
      <c r="F111" s="14" t="n">
        <v>349.9</v>
      </c>
      <c r="G111" s="14" t="n">
        <f aca="false">E111*F111</f>
        <v>1399.6</v>
      </c>
      <c r="H111" s="12" t="n">
        <f aca="false">MONTH(A111)</f>
        <v>5</v>
      </c>
    </row>
    <row r="112" customFormat="false" ht="15" hidden="false" customHeight="false" outlineLevel="0" collapsed="false">
      <c r="A112" s="11" t="n">
        <v>45793</v>
      </c>
      <c r="B112" s="12" t="s">
        <v>34</v>
      </c>
      <c r="C112" s="12" t="s">
        <v>35</v>
      </c>
      <c r="D112" s="12" t="s">
        <v>32</v>
      </c>
      <c r="E112" s="13" t="n">
        <v>1</v>
      </c>
      <c r="F112" s="14" t="n">
        <v>3799</v>
      </c>
      <c r="G112" s="14" t="n">
        <f aca="false">E112*F112</f>
        <v>3799</v>
      </c>
      <c r="H112" s="12" t="n">
        <f aca="false">MONTH(A112)</f>
        <v>5</v>
      </c>
    </row>
    <row r="113" customFormat="false" ht="15" hidden="false" customHeight="false" outlineLevel="0" collapsed="false">
      <c r="A113" s="11" t="n">
        <v>45794</v>
      </c>
      <c r="B113" s="12" t="s">
        <v>22</v>
      </c>
      <c r="C113" s="12" t="s">
        <v>39</v>
      </c>
      <c r="D113" s="12" t="s">
        <v>27</v>
      </c>
      <c r="E113" s="13" t="n">
        <v>1</v>
      </c>
      <c r="F113" s="14" t="n">
        <v>471.45</v>
      </c>
      <c r="G113" s="14" t="n">
        <f aca="false">E113*F113</f>
        <v>471.45</v>
      </c>
      <c r="H113" s="12" t="n">
        <f aca="false">MONTH(A113)</f>
        <v>5</v>
      </c>
    </row>
    <row r="114" customFormat="false" ht="15" hidden="false" customHeight="false" outlineLevel="0" collapsed="false">
      <c r="A114" s="11" t="n">
        <v>45794</v>
      </c>
      <c r="B114" s="12" t="s">
        <v>22</v>
      </c>
      <c r="C114" s="12" t="s">
        <v>23</v>
      </c>
      <c r="D114" s="12" t="s">
        <v>21</v>
      </c>
      <c r="E114" s="13" t="n">
        <v>1</v>
      </c>
      <c r="F114" s="14" t="n">
        <v>206.1</v>
      </c>
      <c r="G114" s="14" t="n">
        <f aca="false">E114*F114</f>
        <v>206.1</v>
      </c>
      <c r="H114" s="12" t="n">
        <f aca="false">MONTH(A114)</f>
        <v>5</v>
      </c>
    </row>
    <row r="115" customFormat="false" ht="15" hidden="false" customHeight="false" outlineLevel="0" collapsed="false">
      <c r="A115" s="11" t="n">
        <v>45794</v>
      </c>
      <c r="B115" s="12" t="s">
        <v>34</v>
      </c>
      <c r="C115" s="12" t="s">
        <v>36</v>
      </c>
      <c r="D115" s="12" t="s">
        <v>32</v>
      </c>
      <c r="E115" s="13" t="n">
        <v>1</v>
      </c>
      <c r="F115" s="14" t="n">
        <v>2199</v>
      </c>
      <c r="G115" s="14" t="n">
        <f aca="false">E115*F115</f>
        <v>2199</v>
      </c>
      <c r="H115" s="12" t="n">
        <f aca="false">MONTH(A115)</f>
        <v>5</v>
      </c>
    </row>
    <row r="116" customFormat="false" ht="15" hidden="false" customHeight="false" outlineLevel="0" collapsed="false">
      <c r="A116" s="11" t="n">
        <v>45794</v>
      </c>
      <c r="B116" s="12" t="s">
        <v>22</v>
      </c>
      <c r="C116" s="12" t="s">
        <v>30</v>
      </c>
      <c r="D116" s="12" t="s">
        <v>21</v>
      </c>
      <c r="E116" s="13" t="n">
        <v>2</v>
      </c>
      <c r="F116" s="14" t="n">
        <v>149.9</v>
      </c>
      <c r="G116" s="14" t="n">
        <f aca="false">E116*F116</f>
        <v>299.8</v>
      </c>
      <c r="H116" s="12" t="n">
        <f aca="false">MONTH(A116)</f>
        <v>5</v>
      </c>
    </row>
    <row r="117" customFormat="false" ht="15" hidden="false" customHeight="false" outlineLevel="0" collapsed="false">
      <c r="A117" s="11" t="n">
        <v>45797</v>
      </c>
      <c r="B117" s="12" t="s">
        <v>19</v>
      </c>
      <c r="C117" s="12" t="s">
        <v>25</v>
      </c>
      <c r="D117" s="12" t="s">
        <v>21</v>
      </c>
      <c r="E117" s="13" t="n">
        <v>1</v>
      </c>
      <c r="F117" s="14" t="n">
        <v>262.4</v>
      </c>
      <c r="G117" s="14" t="n">
        <f aca="false">E117*F117</f>
        <v>262.4</v>
      </c>
      <c r="H117" s="12" t="n">
        <f aca="false">MONTH(A117)</f>
        <v>5</v>
      </c>
    </row>
    <row r="118" customFormat="false" ht="15" hidden="false" customHeight="false" outlineLevel="0" collapsed="false">
      <c r="A118" s="11" t="n">
        <v>45798</v>
      </c>
      <c r="B118" s="12" t="s">
        <v>34</v>
      </c>
      <c r="C118" s="12" t="s">
        <v>35</v>
      </c>
      <c r="D118" s="12" t="s">
        <v>27</v>
      </c>
      <c r="E118" s="13" t="n">
        <v>1</v>
      </c>
      <c r="F118" s="14" t="n">
        <v>3799</v>
      </c>
      <c r="G118" s="14" t="n">
        <f aca="false">E118*F118</f>
        <v>3799</v>
      </c>
      <c r="H118" s="12" t="n">
        <f aca="false">MONTH(A118)</f>
        <v>5</v>
      </c>
    </row>
    <row r="119" customFormat="false" ht="15" hidden="false" customHeight="false" outlineLevel="0" collapsed="false">
      <c r="A119" s="11" t="n">
        <v>45798</v>
      </c>
      <c r="B119" s="12" t="s">
        <v>34</v>
      </c>
      <c r="C119" s="12" t="s">
        <v>41</v>
      </c>
      <c r="D119" s="12" t="s">
        <v>32</v>
      </c>
      <c r="E119" s="13" t="n">
        <v>3</v>
      </c>
      <c r="F119" s="14" t="n">
        <v>1424.05</v>
      </c>
      <c r="G119" s="14" t="n">
        <f aca="false">E119*F119</f>
        <v>4272.15</v>
      </c>
      <c r="H119" s="12" t="n">
        <f aca="false">MONTH(A119)</f>
        <v>5</v>
      </c>
    </row>
    <row r="120" customFormat="false" ht="15" hidden="false" customHeight="false" outlineLevel="0" collapsed="false">
      <c r="A120" s="11" t="n">
        <v>45798</v>
      </c>
      <c r="B120" s="12" t="s">
        <v>19</v>
      </c>
      <c r="C120" s="12" t="s">
        <v>42</v>
      </c>
      <c r="D120" s="12" t="s">
        <v>21</v>
      </c>
      <c r="E120" s="13" t="n">
        <v>2</v>
      </c>
      <c r="F120" s="14" t="n">
        <v>149.9</v>
      </c>
      <c r="G120" s="14" t="n">
        <f aca="false">E120*F120</f>
        <v>299.8</v>
      </c>
      <c r="H120" s="12" t="n">
        <f aca="false">MONTH(A120)</f>
        <v>5</v>
      </c>
    </row>
    <row r="121" customFormat="false" ht="15" hidden="false" customHeight="false" outlineLevel="0" collapsed="false">
      <c r="A121" s="11" t="n">
        <v>45798</v>
      </c>
      <c r="B121" s="12" t="s">
        <v>19</v>
      </c>
      <c r="C121" s="12" t="s">
        <v>42</v>
      </c>
      <c r="D121" s="12" t="s">
        <v>27</v>
      </c>
      <c r="E121" s="13" t="n">
        <v>1</v>
      </c>
      <c r="F121" s="14" t="n">
        <v>134.91</v>
      </c>
      <c r="G121" s="14" t="n">
        <f aca="false">E121*F121</f>
        <v>134.91</v>
      </c>
      <c r="H121" s="12" t="n">
        <f aca="false">MONTH(A121)</f>
        <v>5</v>
      </c>
    </row>
    <row r="122" customFormat="false" ht="15" hidden="false" customHeight="false" outlineLevel="0" collapsed="false">
      <c r="A122" s="11" t="n">
        <v>45800</v>
      </c>
      <c r="B122" s="12" t="s">
        <v>22</v>
      </c>
      <c r="C122" s="12" t="s">
        <v>33</v>
      </c>
      <c r="D122" s="12" t="s">
        <v>32</v>
      </c>
      <c r="E122" s="13" t="n">
        <v>2</v>
      </c>
      <c r="F122" s="14" t="n">
        <v>261.45</v>
      </c>
      <c r="G122" s="14" t="n">
        <f aca="false">E122*F122</f>
        <v>522.9</v>
      </c>
      <c r="H122" s="12" t="n">
        <f aca="false">MONTH(A122)</f>
        <v>5</v>
      </c>
    </row>
    <row r="123" customFormat="false" ht="15" hidden="false" customHeight="false" outlineLevel="0" collapsed="false">
      <c r="A123" s="11" t="n">
        <v>45802</v>
      </c>
      <c r="B123" s="12" t="s">
        <v>19</v>
      </c>
      <c r="C123" s="12" t="s">
        <v>20</v>
      </c>
      <c r="D123" s="12" t="s">
        <v>21</v>
      </c>
      <c r="E123" s="13" t="n">
        <v>1</v>
      </c>
      <c r="F123" s="14" t="n">
        <v>259.9</v>
      </c>
      <c r="G123" s="14" t="n">
        <f aca="false">E123*F123</f>
        <v>259.9</v>
      </c>
      <c r="H123" s="12" t="n">
        <f aca="false">MONTH(A123)</f>
        <v>5</v>
      </c>
    </row>
    <row r="124" customFormat="false" ht="15" hidden="false" customHeight="false" outlineLevel="0" collapsed="false">
      <c r="A124" s="11" t="n">
        <v>45804</v>
      </c>
      <c r="B124" s="12" t="s">
        <v>19</v>
      </c>
      <c r="C124" s="12" t="s">
        <v>20</v>
      </c>
      <c r="D124" s="12" t="s">
        <v>21</v>
      </c>
      <c r="E124" s="13" t="n">
        <v>1</v>
      </c>
      <c r="F124" s="14" t="n">
        <v>259.9</v>
      </c>
      <c r="G124" s="14" t="n">
        <f aca="false">E124*F124</f>
        <v>259.9</v>
      </c>
      <c r="H124" s="12" t="n">
        <f aca="false">MONTH(A124)</f>
        <v>5</v>
      </c>
    </row>
    <row r="125" customFormat="false" ht="15" hidden="false" customHeight="false" outlineLevel="0" collapsed="false">
      <c r="A125" s="11" t="n">
        <v>45804</v>
      </c>
      <c r="B125" s="12" t="s">
        <v>19</v>
      </c>
      <c r="C125" s="12" t="s">
        <v>37</v>
      </c>
      <c r="D125" s="12" t="s">
        <v>38</v>
      </c>
      <c r="E125" s="13" t="n">
        <v>1</v>
      </c>
      <c r="F125" s="14" t="n">
        <v>199.9</v>
      </c>
      <c r="G125" s="14" t="n">
        <f aca="false">E125*F125</f>
        <v>199.9</v>
      </c>
      <c r="H125" s="12" t="n">
        <f aca="false">MONTH(A125)</f>
        <v>5</v>
      </c>
    </row>
    <row r="126" customFormat="false" ht="15" hidden="false" customHeight="false" outlineLevel="0" collapsed="false">
      <c r="A126" s="11" t="n">
        <v>45805</v>
      </c>
      <c r="B126" s="12" t="s">
        <v>22</v>
      </c>
      <c r="C126" s="12" t="s">
        <v>39</v>
      </c>
      <c r="D126" s="12" t="s">
        <v>27</v>
      </c>
      <c r="E126" s="13" t="n">
        <v>1</v>
      </c>
      <c r="F126" s="14" t="n">
        <v>471.45</v>
      </c>
      <c r="G126" s="14" t="n">
        <f aca="false">E126*F126</f>
        <v>471.45</v>
      </c>
      <c r="H126" s="12" t="n">
        <f aca="false">MONTH(A126)</f>
        <v>5</v>
      </c>
    </row>
    <row r="127" customFormat="false" ht="15" hidden="false" customHeight="false" outlineLevel="0" collapsed="false">
      <c r="A127" s="11" t="n">
        <v>45805</v>
      </c>
      <c r="B127" s="12" t="s">
        <v>22</v>
      </c>
      <c r="C127" s="12" t="s">
        <v>33</v>
      </c>
      <c r="D127" s="12" t="s">
        <v>21</v>
      </c>
      <c r="E127" s="13" t="n">
        <v>4</v>
      </c>
      <c r="F127" s="14" t="n">
        <v>236.55</v>
      </c>
      <c r="G127" s="14" t="n">
        <f aca="false">E127*F127</f>
        <v>946.2</v>
      </c>
      <c r="H127" s="12" t="n">
        <f aca="false">MONTH(A127)</f>
        <v>5</v>
      </c>
    </row>
    <row r="128" customFormat="false" ht="15" hidden="false" customHeight="false" outlineLevel="0" collapsed="false">
      <c r="A128" s="11" t="n">
        <v>45806</v>
      </c>
      <c r="B128" s="12" t="s">
        <v>19</v>
      </c>
      <c r="C128" s="12" t="s">
        <v>37</v>
      </c>
      <c r="D128" s="12" t="s">
        <v>27</v>
      </c>
      <c r="E128" s="13" t="n">
        <v>1</v>
      </c>
      <c r="F128" s="14" t="n">
        <v>199.9</v>
      </c>
      <c r="G128" s="14" t="n">
        <f aca="false">E128*F128</f>
        <v>199.9</v>
      </c>
      <c r="H128" s="12" t="n">
        <f aca="false">MONTH(A128)</f>
        <v>5</v>
      </c>
    </row>
    <row r="129" customFormat="false" ht="15" hidden="false" customHeight="false" outlineLevel="0" collapsed="false">
      <c r="A129" s="11" t="n">
        <v>45808</v>
      </c>
      <c r="B129" s="12" t="s">
        <v>34</v>
      </c>
      <c r="C129" s="12" t="s">
        <v>35</v>
      </c>
      <c r="D129" s="12" t="s">
        <v>38</v>
      </c>
      <c r="E129" s="13" t="n">
        <v>1</v>
      </c>
      <c r="F129" s="14" t="n">
        <v>3799</v>
      </c>
      <c r="G129" s="14" t="n">
        <f aca="false">E129*F129</f>
        <v>3799</v>
      </c>
      <c r="H129" s="12" t="n">
        <f aca="false">MONTH(A129)</f>
        <v>5</v>
      </c>
    </row>
    <row r="130" customFormat="false" ht="15" hidden="false" customHeight="false" outlineLevel="0" collapsed="false">
      <c r="A130" s="11" t="n">
        <v>45809</v>
      </c>
      <c r="B130" s="12" t="s">
        <v>19</v>
      </c>
      <c r="C130" s="12" t="s">
        <v>28</v>
      </c>
      <c r="D130" s="12" t="s">
        <v>21</v>
      </c>
      <c r="E130" s="13" t="n">
        <v>3</v>
      </c>
      <c r="F130" s="14" t="n">
        <v>299.9</v>
      </c>
      <c r="G130" s="14" t="n">
        <f aca="false">E130*F130</f>
        <v>899.7</v>
      </c>
      <c r="H130" s="12" t="n">
        <f aca="false">MONTH(A130)</f>
        <v>6</v>
      </c>
    </row>
    <row r="131" customFormat="false" ht="15" hidden="false" customHeight="false" outlineLevel="0" collapsed="false">
      <c r="A131" s="11" t="n">
        <v>45809</v>
      </c>
      <c r="B131" s="12" t="s">
        <v>22</v>
      </c>
      <c r="C131" s="12" t="s">
        <v>23</v>
      </c>
      <c r="D131" s="12" t="s">
        <v>32</v>
      </c>
      <c r="E131" s="13" t="n">
        <v>2</v>
      </c>
      <c r="F131" s="14" t="n">
        <v>229</v>
      </c>
      <c r="G131" s="14" t="n">
        <f aca="false">E131*F131</f>
        <v>458</v>
      </c>
      <c r="H131" s="12" t="n">
        <f aca="false">MONTH(A131)</f>
        <v>6</v>
      </c>
    </row>
    <row r="132" customFormat="false" ht="15" hidden="false" customHeight="false" outlineLevel="0" collapsed="false">
      <c r="A132" s="11" t="n">
        <v>45810</v>
      </c>
      <c r="B132" s="12" t="s">
        <v>22</v>
      </c>
      <c r="C132" s="12" t="s">
        <v>30</v>
      </c>
      <c r="D132" s="12" t="s">
        <v>27</v>
      </c>
      <c r="E132" s="13" t="n">
        <v>3</v>
      </c>
      <c r="F132" s="14" t="n">
        <v>142.41</v>
      </c>
      <c r="G132" s="14" t="n">
        <f aca="false">E132*F132</f>
        <v>427.23</v>
      </c>
      <c r="H132" s="12" t="n">
        <f aca="false">MONTH(A132)</f>
        <v>6</v>
      </c>
    </row>
    <row r="133" customFormat="false" ht="15" hidden="false" customHeight="false" outlineLevel="0" collapsed="false">
      <c r="A133" s="11" t="n">
        <v>45810</v>
      </c>
      <c r="B133" s="12" t="s">
        <v>22</v>
      </c>
      <c r="C133" s="12" t="s">
        <v>29</v>
      </c>
      <c r="D133" s="12" t="s">
        <v>24</v>
      </c>
      <c r="E133" s="13" t="n">
        <v>2</v>
      </c>
      <c r="F133" s="14" t="n">
        <v>129</v>
      </c>
      <c r="G133" s="14" t="n">
        <f aca="false">E133*F133</f>
        <v>258</v>
      </c>
      <c r="H133" s="12" t="n">
        <f aca="false">MONTH(A133)</f>
        <v>6</v>
      </c>
    </row>
    <row r="134" customFormat="false" ht="15" hidden="false" customHeight="false" outlineLevel="0" collapsed="false">
      <c r="A134" s="11" t="n">
        <v>45810</v>
      </c>
      <c r="B134" s="12" t="s">
        <v>19</v>
      </c>
      <c r="C134" s="12" t="s">
        <v>37</v>
      </c>
      <c r="D134" s="12" t="s">
        <v>21</v>
      </c>
      <c r="E134" s="13" t="n">
        <v>1</v>
      </c>
      <c r="F134" s="14" t="n">
        <v>179.91</v>
      </c>
      <c r="G134" s="14" t="n">
        <f aca="false">E134*F134</f>
        <v>179.91</v>
      </c>
      <c r="H134" s="12" t="n">
        <f aca="false">MONTH(A134)</f>
        <v>6</v>
      </c>
    </row>
    <row r="135" customFormat="false" ht="15" hidden="false" customHeight="false" outlineLevel="0" collapsed="false">
      <c r="A135" s="11" t="n">
        <v>45811</v>
      </c>
      <c r="B135" s="12" t="s">
        <v>19</v>
      </c>
      <c r="C135" s="12" t="s">
        <v>40</v>
      </c>
      <c r="D135" s="12" t="s">
        <v>32</v>
      </c>
      <c r="E135" s="13" t="n">
        <v>2</v>
      </c>
      <c r="F135" s="14" t="n">
        <v>179.9</v>
      </c>
      <c r="G135" s="14" t="n">
        <f aca="false">E135*F135</f>
        <v>359.8</v>
      </c>
      <c r="H135" s="12" t="n">
        <f aca="false">MONTH(A135)</f>
        <v>6</v>
      </c>
    </row>
    <row r="136" customFormat="false" ht="15" hidden="false" customHeight="false" outlineLevel="0" collapsed="false">
      <c r="A136" s="11" t="n">
        <v>45813</v>
      </c>
      <c r="B136" s="12" t="s">
        <v>22</v>
      </c>
      <c r="C136" s="12" t="s">
        <v>39</v>
      </c>
      <c r="D136" s="12" t="s">
        <v>21</v>
      </c>
      <c r="E136" s="13" t="n">
        <v>4</v>
      </c>
      <c r="F136" s="14" t="n">
        <v>449</v>
      </c>
      <c r="G136" s="14" t="n">
        <f aca="false">E136*F136</f>
        <v>1796</v>
      </c>
      <c r="H136" s="12" t="n">
        <f aca="false">MONTH(A136)</f>
        <v>6</v>
      </c>
    </row>
    <row r="137" customFormat="false" ht="15" hidden="false" customHeight="false" outlineLevel="0" collapsed="false">
      <c r="A137" s="11" t="n">
        <v>45814</v>
      </c>
      <c r="B137" s="12" t="s">
        <v>19</v>
      </c>
      <c r="C137" s="12" t="s">
        <v>37</v>
      </c>
      <c r="D137" s="12" t="s">
        <v>27</v>
      </c>
      <c r="E137" s="13" t="n">
        <v>3</v>
      </c>
      <c r="F137" s="14" t="n">
        <v>199.9</v>
      </c>
      <c r="G137" s="14" t="n">
        <f aca="false">E137*F137</f>
        <v>599.7</v>
      </c>
      <c r="H137" s="12" t="n">
        <f aca="false">MONTH(A137)</f>
        <v>6</v>
      </c>
    </row>
    <row r="138" customFormat="false" ht="15" hidden="false" customHeight="false" outlineLevel="0" collapsed="false">
      <c r="A138" s="11" t="n">
        <v>45816</v>
      </c>
      <c r="B138" s="12" t="s">
        <v>19</v>
      </c>
      <c r="C138" s="12" t="s">
        <v>26</v>
      </c>
      <c r="D138" s="12" t="s">
        <v>21</v>
      </c>
      <c r="E138" s="13" t="n">
        <v>1</v>
      </c>
      <c r="F138" s="14" t="n">
        <v>251.91</v>
      </c>
      <c r="G138" s="14" t="n">
        <f aca="false">E138*F138</f>
        <v>251.91</v>
      </c>
      <c r="H138" s="12" t="n">
        <f aca="false">MONTH(A138)</f>
        <v>6</v>
      </c>
    </row>
    <row r="139" customFormat="false" ht="15" hidden="false" customHeight="false" outlineLevel="0" collapsed="false">
      <c r="A139" s="11" t="n">
        <v>45816</v>
      </c>
      <c r="B139" s="12" t="s">
        <v>19</v>
      </c>
      <c r="C139" s="12" t="s">
        <v>42</v>
      </c>
      <c r="D139" s="12" t="s">
        <v>32</v>
      </c>
      <c r="E139" s="13" t="n">
        <v>2</v>
      </c>
      <c r="F139" s="14" t="n">
        <v>157.4</v>
      </c>
      <c r="G139" s="14" t="n">
        <f aca="false">E139*F139</f>
        <v>314.8</v>
      </c>
      <c r="H139" s="12" t="n">
        <f aca="false">MONTH(A139)</f>
        <v>6</v>
      </c>
    </row>
    <row r="140" customFormat="false" ht="15" hidden="false" customHeight="false" outlineLevel="0" collapsed="false">
      <c r="A140" s="11" t="n">
        <v>45816</v>
      </c>
      <c r="B140" s="12" t="s">
        <v>19</v>
      </c>
      <c r="C140" s="12" t="s">
        <v>20</v>
      </c>
      <c r="D140" s="12" t="s">
        <v>27</v>
      </c>
      <c r="E140" s="13" t="n">
        <v>3</v>
      </c>
      <c r="F140" s="14" t="n">
        <v>246.9</v>
      </c>
      <c r="G140" s="14" t="n">
        <f aca="false">E140*F140</f>
        <v>740.7</v>
      </c>
      <c r="H140" s="12" t="n">
        <f aca="false">MONTH(A140)</f>
        <v>6</v>
      </c>
    </row>
    <row r="141" customFormat="false" ht="15" hidden="false" customHeight="false" outlineLevel="0" collapsed="false">
      <c r="A141" s="11" t="n">
        <v>45817</v>
      </c>
      <c r="B141" s="12" t="s">
        <v>19</v>
      </c>
      <c r="C141" s="12" t="s">
        <v>40</v>
      </c>
      <c r="D141" s="12" t="s">
        <v>21</v>
      </c>
      <c r="E141" s="13" t="n">
        <v>3</v>
      </c>
      <c r="F141" s="14" t="n">
        <v>179.9</v>
      </c>
      <c r="G141" s="14" t="n">
        <f aca="false">E141*F141</f>
        <v>539.7</v>
      </c>
      <c r="H141" s="12" t="n">
        <f aca="false">MONTH(A141)</f>
        <v>6</v>
      </c>
    </row>
    <row r="142" customFormat="false" ht="15" hidden="false" customHeight="false" outlineLevel="0" collapsed="false">
      <c r="A142" s="11" t="n">
        <v>45818</v>
      </c>
      <c r="B142" s="12" t="s">
        <v>19</v>
      </c>
      <c r="C142" s="12" t="s">
        <v>25</v>
      </c>
      <c r="D142" s="12" t="s">
        <v>21</v>
      </c>
      <c r="E142" s="13" t="n">
        <v>2</v>
      </c>
      <c r="F142" s="14" t="n">
        <v>249.9</v>
      </c>
      <c r="G142" s="14" t="n">
        <f aca="false">E142*F142</f>
        <v>499.8</v>
      </c>
      <c r="H142" s="12" t="n">
        <f aca="false">MONTH(A142)</f>
        <v>6</v>
      </c>
    </row>
    <row r="143" customFormat="false" ht="15" hidden="false" customHeight="false" outlineLevel="0" collapsed="false">
      <c r="A143" s="11" t="n">
        <v>45818</v>
      </c>
      <c r="B143" s="12" t="s">
        <v>19</v>
      </c>
      <c r="C143" s="12" t="s">
        <v>40</v>
      </c>
      <c r="D143" s="12" t="s">
        <v>32</v>
      </c>
      <c r="E143" s="13" t="n">
        <v>1</v>
      </c>
      <c r="F143" s="14" t="n">
        <v>179.9</v>
      </c>
      <c r="G143" s="14" t="n">
        <f aca="false">E143*F143</f>
        <v>179.9</v>
      </c>
      <c r="H143" s="12" t="n">
        <f aca="false">MONTH(A143)</f>
        <v>6</v>
      </c>
    </row>
    <row r="144" customFormat="false" ht="15" hidden="false" customHeight="false" outlineLevel="0" collapsed="false">
      <c r="A144" s="11" t="n">
        <v>45819</v>
      </c>
      <c r="B144" s="12" t="s">
        <v>34</v>
      </c>
      <c r="C144" s="12" t="s">
        <v>36</v>
      </c>
      <c r="D144" s="12" t="s">
        <v>21</v>
      </c>
      <c r="E144" s="13" t="n">
        <v>2</v>
      </c>
      <c r="F144" s="14" t="n">
        <v>1979.1</v>
      </c>
      <c r="G144" s="14" t="n">
        <f aca="false">E144*F144</f>
        <v>3958.2</v>
      </c>
      <c r="H144" s="12" t="n">
        <f aca="false">MONTH(A144)</f>
        <v>6</v>
      </c>
    </row>
    <row r="145" customFormat="false" ht="15" hidden="false" customHeight="false" outlineLevel="0" collapsed="false">
      <c r="A145" s="11" t="n">
        <v>45821</v>
      </c>
      <c r="B145" s="12" t="s">
        <v>19</v>
      </c>
      <c r="C145" s="12" t="s">
        <v>25</v>
      </c>
      <c r="D145" s="12" t="s">
        <v>21</v>
      </c>
      <c r="E145" s="13" t="n">
        <v>1</v>
      </c>
      <c r="F145" s="14" t="n">
        <v>249.9</v>
      </c>
      <c r="G145" s="14" t="n">
        <f aca="false">E145*F145</f>
        <v>249.9</v>
      </c>
      <c r="H145" s="12" t="n">
        <f aca="false">MONTH(A145)</f>
        <v>6</v>
      </c>
    </row>
    <row r="146" customFormat="false" ht="15" hidden="false" customHeight="false" outlineLevel="0" collapsed="false">
      <c r="A146" s="11" t="n">
        <v>45823</v>
      </c>
      <c r="B146" s="12" t="s">
        <v>19</v>
      </c>
      <c r="C146" s="12" t="s">
        <v>37</v>
      </c>
      <c r="D146" s="12" t="s">
        <v>21</v>
      </c>
      <c r="E146" s="13" t="n">
        <v>5</v>
      </c>
      <c r="F146" s="14" t="n">
        <v>189.91</v>
      </c>
      <c r="G146" s="14" t="n">
        <f aca="false">E146*F146</f>
        <v>949.55</v>
      </c>
      <c r="H146" s="12" t="n">
        <f aca="false">MONTH(A146)</f>
        <v>6</v>
      </c>
    </row>
    <row r="147" customFormat="false" ht="15" hidden="false" customHeight="false" outlineLevel="0" collapsed="false">
      <c r="A147" s="11" t="n">
        <v>45825</v>
      </c>
      <c r="B147" s="12" t="s">
        <v>22</v>
      </c>
      <c r="C147" s="12" t="s">
        <v>33</v>
      </c>
      <c r="D147" s="12" t="s">
        <v>21</v>
      </c>
      <c r="E147" s="13" t="n">
        <v>3</v>
      </c>
      <c r="F147" s="14" t="n">
        <v>249</v>
      </c>
      <c r="G147" s="14" t="n">
        <f aca="false">E147*F147</f>
        <v>747</v>
      </c>
      <c r="H147" s="12" t="n">
        <f aca="false">MONTH(A147)</f>
        <v>6</v>
      </c>
    </row>
    <row r="148" customFormat="false" ht="15" hidden="false" customHeight="false" outlineLevel="0" collapsed="false">
      <c r="A148" s="11" t="n">
        <v>45825</v>
      </c>
      <c r="B148" s="12" t="s">
        <v>22</v>
      </c>
      <c r="C148" s="12" t="s">
        <v>33</v>
      </c>
      <c r="D148" s="12" t="s">
        <v>32</v>
      </c>
      <c r="E148" s="13" t="n">
        <v>2</v>
      </c>
      <c r="F148" s="14" t="n">
        <v>224.1</v>
      </c>
      <c r="G148" s="14" t="n">
        <f aca="false">E148*F148</f>
        <v>448.2</v>
      </c>
      <c r="H148" s="12" t="n">
        <f aca="false">MONTH(A148)</f>
        <v>6</v>
      </c>
    </row>
    <row r="149" customFormat="false" ht="15" hidden="false" customHeight="false" outlineLevel="0" collapsed="false">
      <c r="A149" s="11" t="n">
        <v>45825</v>
      </c>
      <c r="B149" s="12" t="s">
        <v>22</v>
      </c>
      <c r="C149" s="12" t="s">
        <v>23</v>
      </c>
      <c r="D149" s="12" t="s">
        <v>21</v>
      </c>
      <c r="E149" s="13" t="n">
        <v>1</v>
      </c>
      <c r="F149" s="14" t="n">
        <v>217.55</v>
      </c>
      <c r="G149" s="14" t="n">
        <f aca="false">E149*F149</f>
        <v>217.55</v>
      </c>
      <c r="H149" s="12" t="n">
        <f aca="false">MONTH(A149)</f>
        <v>6</v>
      </c>
    </row>
    <row r="150" customFormat="false" ht="15" hidden="false" customHeight="false" outlineLevel="0" collapsed="false">
      <c r="A150" s="11" t="n">
        <v>45826</v>
      </c>
      <c r="B150" s="12" t="s">
        <v>19</v>
      </c>
      <c r="C150" s="12" t="s">
        <v>25</v>
      </c>
      <c r="D150" s="12" t="s">
        <v>24</v>
      </c>
      <c r="E150" s="13" t="n">
        <v>1</v>
      </c>
      <c r="F150" s="14" t="n">
        <v>262.4</v>
      </c>
      <c r="G150" s="14" t="n">
        <f aca="false">E150*F150</f>
        <v>262.4</v>
      </c>
      <c r="H150" s="12" t="n">
        <f aca="false">MONTH(A150)</f>
        <v>6</v>
      </c>
    </row>
    <row r="151" customFormat="false" ht="15" hidden="false" customHeight="false" outlineLevel="0" collapsed="false">
      <c r="A151" s="11" t="n">
        <v>45826</v>
      </c>
      <c r="B151" s="12" t="s">
        <v>22</v>
      </c>
      <c r="C151" s="12" t="s">
        <v>29</v>
      </c>
      <c r="D151" s="12" t="s">
        <v>21</v>
      </c>
      <c r="E151" s="13" t="n">
        <v>4</v>
      </c>
      <c r="F151" s="14" t="n">
        <v>129</v>
      </c>
      <c r="G151" s="14" t="n">
        <f aca="false">E151*F151</f>
        <v>516</v>
      </c>
      <c r="H151" s="12" t="n">
        <f aca="false">MONTH(A151)</f>
        <v>6</v>
      </c>
    </row>
    <row r="152" customFormat="false" ht="15" hidden="false" customHeight="false" outlineLevel="0" collapsed="false">
      <c r="A152" s="11" t="n">
        <v>45826</v>
      </c>
      <c r="B152" s="12" t="s">
        <v>22</v>
      </c>
      <c r="C152" s="12" t="s">
        <v>30</v>
      </c>
      <c r="D152" s="12" t="s">
        <v>21</v>
      </c>
      <c r="E152" s="13" t="n">
        <v>2</v>
      </c>
      <c r="F152" s="14" t="n">
        <v>134.91</v>
      </c>
      <c r="G152" s="14" t="n">
        <f aca="false">E152*F152</f>
        <v>269.82</v>
      </c>
      <c r="H152" s="12" t="n">
        <f aca="false">MONTH(A152)</f>
        <v>6</v>
      </c>
    </row>
    <row r="153" customFormat="false" ht="15" hidden="false" customHeight="false" outlineLevel="0" collapsed="false">
      <c r="A153" s="11" t="n">
        <v>45828</v>
      </c>
      <c r="B153" s="12" t="s">
        <v>19</v>
      </c>
      <c r="C153" s="12" t="s">
        <v>25</v>
      </c>
      <c r="D153" s="12" t="s">
        <v>38</v>
      </c>
      <c r="E153" s="13" t="n">
        <v>1</v>
      </c>
      <c r="F153" s="14" t="n">
        <v>262.4</v>
      </c>
      <c r="G153" s="14" t="n">
        <f aca="false">E153*F153</f>
        <v>262.4</v>
      </c>
      <c r="H153" s="12" t="n">
        <f aca="false">MONTH(A153)</f>
        <v>6</v>
      </c>
    </row>
    <row r="154" customFormat="false" ht="15" hidden="false" customHeight="false" outlineLevel="0" collapsed="false">
      <c r="A154" s="11" t="n">
        <v>45830</v>
      </c>
      <c r="B154" s="12" t="s">
        <v>22</v>
      </c>
      <c r="C154" s="12" t="s">
        <v>29</v>
      </c>
      <c r="D154" s="12" t="s">
        <v>21</v>
      </c>
      <c r="E154" s="13" t="n">
        <v>4</v>
      </c>
      <c r="F154" s="14" t="n">
        <v>129</v>
      </c>
      <c r="G154" s="14" t="n">
        <f aca="false">E154*F154</f>
        <v>516</v>
      </c>
      <c r="H154" s="12" t="n">
        <f aca="false">MONTH(A154)</f>
        <v>6</v>
      </c>
    </row>
    <row r="155" customFormat="false" ht="15" hidden="false" customHeight="false" outlineLevel="0" collapsed="false">
      <c r="A155" s="11" t="n">
        <v>45831</v>
      </c>
      <c r="B155" s="12" t="s">
        <v>22</v>
      </c>
      <c r="C155" s="12" t="s">
        <v>30</v>
      </c>
      <c r="D155" s="12" t="s">
        <v>32</v>
      </c>
      <c r="E155" s="13" t="n">
        <v>1</v>
      </c>
      <c r="F155" s="14" t="n">
        <v>142.41</v>
      </c>
      <c r="G155" s="14" t="n">
        <f aca="false">E155*F155</f>
        <v>142.41</v>
      </c>
      <c r="H155" s="12" t="n">
        <f aca="false">MONTH(A155)</f>
        <v>6</v>
      </c>
    </row>
    <row r="156" customFormat="false" ht="15" hidden="false" customHeight="false" outlineLevel="0" collapsed="false">
      <c r="A156" s="11" t="n">
        <v>45832</v>
      </c>
      <c r="B156" s="12" t="s">
        <v>22</v>
      </c>
      <c r="C156" s="12" t="s">
        <v>29</v>
      </c>
      <c r="D156" s="12" t="s">
        <v>21</v>
      </c>
      <c r="E156" s="13" t="n">
        <v>1</v>
      </c>
      <c r="F156" s="14" t="n">
        <v>135.45</v>
      </c>
      <c r="G156" s="14" t="n">
        <f aca="false">E156*F156</f>
        <v>135.45</v>
      </c>
      <c r="H156" s="12" t="n">
        <f aca="false">MONTH(A156)</f>
        <v>6</v>
      </c>
    </row>
    <row r="157" customFormat="false" ht="15" hidden="false" customHeight="false" outlineLevel="0" collapsed="false">
      <c r="A157" s="11" t="n">
        <v>45834</v>
      </c>
      <c r="B157" s="12" t="s">
        <v>22</v>
      </c>
      <c r="C157" s="12" t="s">
        <v>33</v>
      </c>
      <c r="D157" s="12" t="s">
        <v>32</v>
      </c>
      <c r="E157" s="13" t="n">
        <v>2</v>
      </c>
      <c r="F157" s="14" t="n">
        <v>249</v>
      </c>
      <c r="G157" s="14" t="n">
        <f aca="false">E157*F157</f>
        <v>498</v>
      </c>
      <c r="H157" s="12" t="n">
        <f aca="false">MONTH(A157)</f>
        <v>6</v>
      </c>
    </row>
    <row r="158" customFormat="false" ht="15" hidden="false" customHeight="false" outlineLevel="0" collapsed="false">
      <c r="A158" s="11" t="n">
        <v>45837</v>
      </c>
      <c r="B158" s="12" t="s">
        <v>19</v>
      </c>
      <c r="C158" s="12" t="s">
        <v>26</v>
      </c>
      <c r="D158" s="12" t="s">
        <v>21</v>
      </c>
      <c r="E158" s="13" t="n">
        <v>2</v>
      </c>
      <c r="F158" s="14" t="n">
        <v>251.91</v>
      </c>
      <c r="G158" s="14" t="n">
        <f aca="false">E158*F158</f>
        <v>503.82</v>
      </c>
      <c r="H158" s="12" t="n">
        <f aca="false">MONTH(A158)</f>
        <v>6</v>
      </c>
    </row>
    <row r="159" customFormat="false" ht="15" hidden="false" customHeight="false" outlineLevel="0" collapsed="false">
      <c r="A159" s="11" t="n">
        <v>45837</v>
      </c>
      <c r="B159" s="12" t="s">
        <v>34</v>
      </c>
      <c r="C159" s="12" t="s">
        <v>35</v>
      </c>
      <c r="D159" s="12" t="s">
        <v>27</v>
      </c>
      <c r="E159" s="13" t="n">
        <v>1</v>
      </c>
      <c r="F159" s="14" t="n">
        <v>3799</v>
      </c>
      <c r="G159" s="14" t="n">
        <f aca="false">E159*F159</f>
        <v>3799</v>
      </c>
      <c r="H159" s="12" t="n">
        <f aca="false">MONTH(A159)</f>
        <v>6</v>
      </c>
    </row>
    <row r="160" customFormat="false" ht="15" hidden="false" customHeight="false" outlineLevel="0" collapsed="false">
      <c r="A160" s="11" t="n">
        <v>45837</v>
      </c>
      <c r="B160" s="12" t="s">
        <v>19</v>
      </c>
      <c r="C160" s="12" t="s">
        <v>40</v>
      </c>
      <c r="D160" s="12" t="s">
        <v>21</v>
      </c>
      <c r="E160" s="13" t="n">
        <v>3</v>
      </c>
      <c r="F160" s="14" t="n">
        <v>179.9</v>
      </c>
      <c r="G160" s="14" t="n">
        <f aca="false">E160*F160</f>
        <v>539.7</v>
      </c>
      <c r="H160" s="12" t="n">
        <f aca="false">MONTH(A160)</f>
        <v>6</v>
      </c>
    </row>
    <row r="161" customFormat="false" ht="15" hidden="false" customHeight="false" outlineLevel="0" collapsed="false">
      <c r="A161" s="11" t="n">
        <v>45838</v>
      </c>
      <c r="B161" s="12" t="s">
        <v>22</v>
      </c>
      <c r="C161" s="12" t="s">
        <v>23</v>
      </c>
      <c r="D161" s="12" t="s">
        <v>21</v>
      </c>
      <c r="E161" s="13" t="n">
        <v>1</v>
      </c>
      <c r="F161" s="14" t="n">
        <v>240.45</v>
      </c>
      <c r="G161" s="14" t="n">
        <f aca="false">E161*F161</f>
        <v>240.45</v>
      </c>
      <c r="H161" s="12" t="n">
        <f aca="false">MONTH(A161)</f>
        <v>6</v>
      </c>
    </row>
    <row r="162" customFormat="false" ht="15" hidden="false" customHeight="false" outlineLevel="0" collapsed="false">
      <c r="A162" s="11" t="n">
        <v>45839</v>
      </c>
      <c r="B162" s="12" t="s">
        <v>22</v>
      </c>
      <c r="C162" s="12" t="s">
        <v>23</v>
      </c>
      <c r="D162" s="12" t="s">
        <v>21</v>
      </c>
      <c r="E162" s="13" t="n">
        <v>2</v>
      </c>
      <c r="F162" s="14" t="n">
        <v>229</v>
      </c>
      <c r="G162" s="14" t="n">
        <f aca="false">E162*F162</f>
        <v>458</v>
      </c>
      <c r="H162" s="12" t="n">
        <f aca="false">MONTH(A162)</f>
        <v>7</v>
      </c>
    </row>
    <row r="163" customFormat="false" ht="15" hidden="false" customHeight="false" outlineLevel="0" collapsed="false">
      <c r="A163" s="11" t="n">
        <v>45842</v>
      </c>
      <c r="B163" s="12" t="s">
        <v>34</v>
      </c>
      <c r="C163" s="12" t="s">
        <v>41</v>
      </c>
      <c r="D163" s="12" t="s">
        <v>27</v>
      </c>
      <c r="E163" s="13" t="n">
        <v>2</v>
      </c>
      <c r="F163" s="14" t="n">
        <v>1424.05</v>
      </c>
      <c r="G163" s="14" t="n">
        <f aca="false">E163*F163</f>
        <v>2848.1</v>
      </c>
      <c r="H163" s="12" t="n">
        <f aca="false">MONTH(A163)</f>
        <v>7</v>
      </c>
    </row>
    <row r="164" customFormat="false" ht="15" hidden="false" customHeight="false" outlineLevel="0" collapsed="false">
      <c r="A164" s="11" t="n">
        <v>45846</v>
      </c>
      <c r="B164" s="12" t="s">
        <v>19</v>
      </c>
      <c r="C164" s="12" t="s">
        <v>42</v>
      </c>
      <c r="D164" s="12" t="s">
        <v>27</v>
      </c>
      <c r="E164" s="13" t="n">
        <v>3</v>
      </c>
      <c r="F164" s="14" t="n">
        <v>149.9</v>
      </c>
      <c r="G164" s="14" t="n">
        <f aca="false">E164*F164</f>
        <v>449.7</v>
      </c>
      <c r="H164" s="12" t="n">
        <f aca="false">MONTH(A164)</f>
        <v>7</v>
      </c>
    </row>
    <row r="165" customFormat="false" ht="15" hidden="false" customHeight="false" outlineLevel="0" collapsed="false">
      <c r="A165" s="11" t="n">
        <v>45846</v>
      </c>
      <c r="B165" s="12" t="s">
        <v>22</v>
      </c>
      <c r="C165" s="12" t="s">
        <v>23</v>
      </c>
      <c r="D165" s="12" t="s">
        <v>27</v>
      </c>
      <c r="E165" s="13" t="n">
        <v>3</v>
      </c>
      <c r="F165" s="14" t="n">
        <v>229</v>
      </c>
      <c r="G165" s="14" t="n">
        <f aca="false">E165*F165</f>
        <v>687</v>
      </c>
      <c r="H165" s="12" t="n">
        <f aca="false">MONTH(A165)</f>
        <v>7</v>
      </c>
    </row>
    <row r="166" customFormat="false" ht="15" hidden="false" customHeight="false" outlineLevel="0" collapsed="false">
      <c r="A166" s="11" t="n">
        <v>45846</v>
      </c>
      <c r="B166" s="12" t="s">
        <v>34</v>
      </c>
      <c r="C166" s="12" t="s">
        <v>36</v>
      </c>
      <c r="D166" s="12" t="s">
        <v>27</v>
      </c>
      <c r="E166" s="13" t="n">
        <v>2</v>
      </c>
      <c r="F166" s="14" t="n">
        <v>2089.05</v>
      </c>
      <c r="G166" s="14" t="n">
        <f aca="false">E166*F166</f>
        <v>4178.1</v>
      </c>
      <c r="H166" s="12" t="n">
        <f aca="false">MONTH(A166)</f>
        <v>7</v>
      </c>
    </row>
    <row r="167" customFormat="false" ht="15" hidden="false" customHeight="false" outlineLevel="0" collapsed="false">
      <c r="A167" s="11" t="n">
        <v>45846</v>
      </c>
      <c r="B167" s="12" t="s">
        <v>19</v>
      </c>
      <c r="C167" s="12" t="s">
        <v>40</v>
      </c>
      <c r="D167" s="12" t="s">
        <v>32</v>
      </c>
      <c r="E167" s="13" t="n">
        <v>4</v>
      </c>
      <c r="F167" s="14" t="n">
        <v>161.91</v>
      </c>
      <c r="G167" s="14" t="n">
        <f aca="false">E167*F167</f>
        <v>647.64</v>
      </c>
      <c r="H167" s="12" t="n">
        <f aca="false">MONTH(A167)</f>
        <v>7</v>
      </c>
    </row>
    <row r="168" customFormat="false" ht="15" hidden="false" customHeight="false" outlineLevel="0" collapsed="false">
      <c r="A168" s="11" t="n">
        <v>45848</v>
      </c>
      <c r="B168" s="12" t="s">
        <v>22</v>
      </c>
      <c r="C168" s="12" t="s">
        <v>29</v>
      </c>
      <c r="D168" s="12" t="s">
        <v>21</v>
      </c>
      <c r="E168" s="13" t="n">
        <v>5</v>
      </c>
      <c r="F168" s="14" t="n">
        <v>122.55</v>
      </c>
      <c r="G168" s="14" t="n">
        <f aca="false">E168*F168</f>
        <v>612.75</v>
      </c>
      <c r="H168" s="12" t="n">
        <f aca="false">MONTH(A168)</f>
        <v>7</v>
      </c>
    </row>
    <row r="169" customFormat="false" ht="15" hidden="false" customHeight="false" outlineLevel="0" collapsed="false">
      <c r="A169" s="11" t="n">
        <v>45852</v>
      </c>
      <c r="B169" s="12" t="s">
        <v>19</v>
      </c>
      <c r="C169" s="12" t="s">
        <v>42</v>
      </c>
      <c r="D169" s="12" t="s">
        <v>21</v>
      </c>
      <c r="E169" s="13" t="n">
        <v>1</v>
      </c>
      <c r="F169" s="14" t="n">
        <v>157.4</v>
      </c>
      <c r="G169" s="14" t="n">
        <f aca="false">E169*F169</f>
        <v>157.4</v>
      </c>
      <c r="H169" s="12" t="n">
        <f aca="false">MONTH(A169)</f>
        <v>7</v>
      </c>
    </row>
    <row r="170" customFormat="false" ht="15" hidden="false" customHeight="false" outlineLevel="0" collapsed="false">
      <c r="A170" s="11" t="n">
        <v>45852</v>
      </c>
      <c r="B170" s="12" t="s">
        <v>19</v>
      </c>
      <c r="C170" s="12" t="s">
        <v>20</v>
      </c>
      <c r="D170" s="12" t="s">
        <v>38</v>
      </c>
      <c r="E170" s="13" t="n">
        <v>1</v>
      </c>
      <c r="F170" s="14" t="n">
        <v>259.9</v>
      </c>
      <c r="G170" s="14" t="n">
        <f aca="false">E170*F170</f>
        <v>259.9</v>
      </c>
      <c r="H170" s="12" t="n">
        <f aca="false">MONTH(A170)</f>
        <v>7</v>
      </c>
    </row>
    <row r="171" customFormat="false" ht="15" hidden="false" customHeight="false" outlineLevel="0" collapsed="false">
      <c r="A171" s="11" t="n">
        <v>45852</v>
      </c>
      <c r="B171" s="12" t="s">
        <v>19</v>
      </c>
      <c r="C171" s="12" t="s">
        <v>26</v>
      </c>
      <c r="D171" s="12" t="s">
        <v>27</v>
      </c>
      <c r="E171" s="13" t="n">
        <v>3</v>
      </c>
      <c r="F171" s="14" t="n">
        <v>279.9</v>
      </c>
      <c r="G171" s="14" t="n">
        <f aca="false">E171*F171</f>
        <v>839.7</v>
      </c>
      <c r="H171" s="12" t="n">
        <f aca="false">MONTH(A171)</f>
        <v>7</v>
      </c>
    </row>
    <row r="172" customFormat="false" ht="15" hidden="false" customHeight="false" outlineLevel="0" collapsed="false">
      <c r="A172" s="11" t="n">
        <v>45853</v>
      </c>
      <c r="B172" s="12" t="s">
        <v>22</v>
      </c>
      <c r="C172" s="12" t="s">
        <v>30</v>
      </c>
      <c r="D172" s="12" t="s">
        <v>21</v>
      </c>
      <c r="E172" s="13" t="n">
        <v>3</v>
      </c>
      <c r="F172" s="14" t="n">
        <v>134.91</v>
      </c>
      <c r="G172" s="14" t="n">
        <f aca="false">E172*F172</f>
        <v>404.73</v>
      </c>
      <c r="H172" s="12" t="n">
        <f aca="false">MONTH(A172)</f>
        <v>7</v>
      </c>
    </row>
    <row r="173" customFormat="false" ht="15" hidden="false" customHeight="false" outlineLevel="0" collapsed="false">
      <c r="A173" s="11" t="n">
        <v>45853</v>
      </c>
      <c r="B173" s="12" t="s">
        <v>19</v>
      </c>
      <c r="C173" s="12" t="s">
        <v>28</v>
      </c>
      <c r="D173" s="12" t="s">
        <v>27</v>
      </c>
      <c r="E173" s="13" t="n">
        <v>1</v>
      </c>
      <c r="F173" s="14" t="n">
        <v>284.9</v>
      </c>
      <c r="G173" s="14" t="n">
        <f aca="false">E173*F173</f>
        <v>284.9</v>
      </c>
      <c r="H173" s="12" t="n">
        <f aca="false">MONTH(A173)</f>
        <v>7</v>
      </c>
    </row>
    <row r="174" customFormat="false" ht="15" hidden="false" customHeight="false" outlineLevel="0" collapsed="false">
      <c r="A174" s="11" t="n">
        <v>45855</v>
      </c>
      <c r="B174" s="12" t="s">
        <v>19</v>
      </c>
      <c r="C174" s="12" t="s">
        <v>28</v>
      </c>
      <c r="D174" s="12" t="s">
        <v>21</v>
      </c>
      <c r="E174" s="13" t="n">
        <v>2</v>
      </c>
      <c r="F174" s="14" t="n">
        <v>299.9</v>
      </c>
      <c r="G174" s="14" t="n">
        <f aca="false">E174*F174</f>
        <v>599.8</v>
      </c>
      <c r="H174" s="12" t="n">
        <f aca="false">MONTH(A174)</f>
        <v>7</v>
      </c>
    </row>
    <row r="175" customFormat="false" ht="15" hidden="false" customHeight="false" outlineLevel="0" collapsed="false">
      <c r="A175" s="11" t="n">
        <v>45856</v>
      </c>
      <c r="B175" s="12" t="s">
        <v>19</v>
      </c>
      <c r="C175" s="12" t="s">
        <v>40</v>
      </c>
      <c r="D175" s="12" t="s">
        <v>27</v>
      </c>
      <c r="E175" s="13" t="n">
        <v>3</v>
      </c>
      <c r="F175" s="14" t="n">
        <v>161.91</v>
      </c>
      <c r="G175" s="14" t="n">
        <f aca="false">E175*F175</f>
        <v>485.73</v>
      </c>
      <c r="H175" s="12" t="n">
        <f aca="false">MONTH(A175)</f>
        <v>7</v>
      </c>
    </row>
    <row r="176" customFormat="false" ht="15" hidden="false" customHeight="false" outlineLevel="0" collapsed="false">
      <c r="A176" s="11" t="n">
        <v>45856</v>
      </c>
      <c r="B176" s="12" t="s">
        <v>22</v>
      </c>
      <c r="C176" s="12" t="s">
        <v>39</v>
      </c>
      <c r="D176" s="12" t="s">
        <v>21</v>
      </c>
      <c r="E176" s="13" t="n">
        <v>1</v>
      </c>
      <c r="F176" s="14" t="n">
        <v>404.1</v>
      </c>
      <c r="G176" s="14" t="n">
        <f aca="false">E176*F176</f>
        <v>404.1</v>
      </c>
      <c r="H176" s="12" t="n">
        <f aca="false">MONTH(A176)</f>
        <v>7</v>
      </c>
    </row>
    <row r="177" customFormat="false" ht="15" hidden="false" customHeight="false" outlineLevel="0" collapsed="false">
      <c r="A177" s="11" t="n">
        <v>45865</v>
      </c>
      <c r="B177" s="12" t="s">
        <v>34</v>
      </c>
      <c r="C177" s="12" t="s">
        <v>36</v>
      </c>
      <c r="D177" s="12" t="s">
        <v>21</v>
      </c>
      <c r="E177" s="13" t="n">
        <v>2</v>
      </c>
      <c r="F177" s="14" t="n">
        <v>1979.1</v>
      </c>
      <c r="G177" s="14" t="n">
        <f aca="false">E177*F177</f>
        <v>3958.2</v>
      </c>
      <c r="H177" s="12" t="n">
        <f aca="false">MONTH(A177)</f>
        <v>7</v>
      </c>
    </row>
    <row r="178" customFormat="false" ht="15" hidden="false" customHeight="false" outlineLevel="0" collapsed="false">
      <c r="A178" s="11" t="n">
        <v>45869</v>
      </c>
      <c r="B178" s="12" t="s">
        <v>34</v>
      </c>
      <c r="C178" s="12" t="s">
        <v>41</v>
      </c>
      <c r="D178" s="12" t="s">
        <v>38</v>
      </c>
      <c r="E178" s="13" t="n">
        <v>2</v>
      </c>
      <c r="F178" s="14" t="n">
        <v>1349.1</v>
      </c>
      <c r="G178" s="14" t="n">
        <f aca="false">E178*F178</f>
        <v>2698.2</v>
      </c>
      <c r="H178" s="12" t="n">
        <f aca="false">MONTH(A178)</f>
        <v>7</v>
      </c>
    </row>
    <row r="179" customFormat="false" ht="15" hidden="false" customHeight="false" outlineLevel="0" collapsed="false">
      <c r="A179" s="11" t="n">
        <v>45870</v>
      </c>
      <c r="B179" s="12" t="s">
        <v>34</v>
      </c>
      <c r="C179" s="12" t="s">
        <v>36</v>
      </c>
      <c r="D179" s="12" t="s">
        <v>21</v>
      </c>
      <c r="E179" s="13" t="n">
        <v>2</v>
      </c>
      <c r="F179" s="14" t="n">
        <v>2308.95</v>
      </c>
      <c r="G179" s="14" t="n">
        <f aca="false">E179*F179</f>
        <v>4617.9</v>
      </c>
      <c r="H179" s="12" t="n">
        <f aca="false">MONTH(A179)</f>
        <v>8</v>
      </c>
    </row>
    <row r="180" customFormat="false" ht="15" hidden="false" customHeight="false" outlineLevel="0" collapsed="false">
      <c r="A180" s="11" t="n">
        <v>45870</v>
      </c>
      <c r="B180" s="12" t="s">
        <v>19</v>
      </c>
      <c r="C180" s="12" t="s">
        <v>25</v>
      </c>
      <c r="D180" s="12" t="s">
        <v>21</v>
      </c>
      <c r="E180" s="13" t="n">
        <v>1</v>
      </c>
      <c r="F180" s="14" t="n">
        <v>262.4</v>
      </c>
      <c r="G180" s="14" t="n">
        <f aca="false">E180*F180</f>
        <v>262.4</v>
      </c>
      <c r="H180" s="12" t="n">
        <f aca="false">MONTH(A180)</f>
        <v>8</v>
      </c>
    </row>
    <row r="181" customFormat="false" ht="15" hidden="false" customHeight="false" outlineLevel="0" collapsed="false">
      <c r="A181" s="11" t="n">
        <v>45871</v>
      </c>
      <c r="B181" s="12" t="s">
        <v>19</v>
      </c>
      <c r="C181" s="12" t="s">
        <v>37</v>
      </c>
      <c r="D181" s="12" t="s">
        <v>27</v>
      </c>
      <c r="E181" s="13" t="n">
        <v>2</v>
      </c>
      <c r="F181" s="14" t="n">
        <v>199.9</v>
      </c>
      <c r="G181" s="14" t="n">
        <f aca="false">E181*F181</f>
        <v>399.8</v>
      </c>
      <c r="H181" s="12" t="n">
        <f aca="false">MONTH(A181)</f>
        <v>8</v>
      </c>
    </row>
    <row r="182" customFormat="false" ht="15" hidden="false" customHeight="false" outlineLevel="0" collapsed="false">
      <c r="A182" s="11" t="n">
        <v>45872</v>
      </c>
      <c r="B182" s="12" t="s">
        <v>19</v>
      </c>
      <c r="C182" s="12" t="s">
        <v>20</v>
      </c>
      <c r="D182" s="12" t="s">
        <v>21</v>
      </c>
      <c r="E182" s="13" t="n">
        <v>3</v>
      </c>
      <c r="F182" s="14" t="n">
        <v>233.91</v>
      </c>
      <c r="G182" s="14" t="n">
        <f aca="false">E182*F182</f>
        <v>701.73</v>
      </c>
      <c r="H182" s="12" t="n">
        <f aca="false">MONTH(A182)</f>
        <v>8</v>
      </c>
    </row>
    <row r="183" customFormat="false" ht="15" hidden="false" customHeight="false" outlineLevel="0" collapsed="false">
      <c r="A183" s="11" t="n">
        <v>45873</v>
      </c>
      <c r="B183" s="12" t="s">
        <v>19</v>
      </c>
      <c r="C183" s="12" t="s">
        <v>40</v>
      </c>
      <c r="D183" s="12" t="s">
        <v>32</v>
      </c>
      <c r="E183" s="13" t="n">
        <v>4</v>
      </c>
      <c r="F183" s="14" t="n">
        <v>170.91</v>
      </c>
      <c r="G183" s="14" t="n">
        <f aca="false">E183*F183</f>
        <v>683.64</v>
      </c>
      <c r="H183" s="12" t="n">
        <f aca="false">MONTH(A183)</f>
        <v>8</v>
      </c>
    </row>
    <row r="184" customFormat="false" ht="15" hidden="false" customHeight="false" outlineLevel="0" collapsed="false">
      <c r="A184" s="11" t="n">
        <v>45874</v>
      </c>
      <c r="B184" s="12" t="s">
        <v>34</v>
      </c>
      <c r="C184" s="12" t="s">
        <v>36</v>
      </c>
      <c r="D184" s="12" t="s">
        <v>21</v>
      </c>
      <c r="E184" s="13" t="n">
        <v>1</v>
      </c>
      <c r="F184" s="14" t="n">
        <v>2199</v>
      </c>
      <c r="G184" s="14" t="n">
        <f aca="false">E184*F184</f>
        <v>2199</v>
      </c>
      <c r="H184" s="12" t="n">
        <f aca="false">MONTH(A184)</f>
        <v>8</v>
      </c>
    </row>
    <row r="185" customFormat="false" ht="15" hidden="false" customHeight="false" outlineLevel="0" collapsed="false">
      <c r="A185" s="11" t="n">
        <v>45876</v>
      </c>
      <c r="B185" s="12" t="s">
        <v>19</v>
      </c>
      <c r="C185" s="12" t="s">
        <v>31</v>
      </c>
      <c r="D185" s="12" t="s">
        <v>21</v>
      </c>
      <c r="E185" s="13" t="n">
        <v>1</v>
      </c>
      <c r="F185" s="14" t="n">
        <v>314.91</v>
      </c>
      <c r="G185" s="14" t="n">
        <f aca="false">E185*F185</f>
        <v>314.91</v>
      </c>
      <c r="H185" s="12" t="n">
        <f aca="false">MONTH(A185)</f>
        <v>8</v>
      </c>
    </row>
    <row r="186" customFormat="false" ht="15" hidden="false" customHeight="false" outlineLevel="0" collapsed="false">
      <c r="A186" s="11" t="n">
        <v>45878</v>
      </c>
      <c r="B186" s="12" t="s">
        <v>34</v>
      </c>
      <c r="C186" s="12" t="s">
        <v>36</v>
      </c>
      <c r="D186" s="12" t="s">
        <v>32</v>
      </c>
      <c r="E186" s="13" t="n">
        <v>2</v>
      </c>
      <c r="F186" s="14" t="n">
        <v>2199</v>
      </c>
      <c r="G186" s="14" t="n">
        <f aca="false">E186*F186</f>
        <v>4398</v>
      </c>
      <c r="H186" s="12" t="n">
        <f aca="false">MONTH(A186)</f>
        <v>8</v>
      </c>
    </row>
    <row r="187" customFormat="false" ht="15" hidden="false" customHeight="false" outlineLevel="0" collapsed="false">
      <c r="A187" s="11" t="n">
        <v>45881</v>
      </c>
      <c r="B187" s="12" t="s">
        <v>19</v>
      </c>
      <c r="C187" s="12" t="s">
        <v>20</v>
      </c>
      <c r="D187" s="12" t="s">
        <v>24</v>
      </c>
      <c r="E187" s="13" t="n">
        <v>2</v>
      </c>
      <c r="F187" s="14" t="n">
        <v>233.91</v>
      </c>
      <c r="G187" s="14" t="n">
        <f aca="false">E187*F187</f>
        <v>467.82</v>
      </c>
      <c r="H187" s="12" t="n">
        <f aca="false">MONTH(A187)</f>
        <v>8</v>
      </c>
    </row>
    <row r="188" customFormat="false" ht="15" hidden="false" customHeight="false" outlineLevel="0" collapsed="false">
      <c r="A188" s="11" t="n">
        <v>45882</v>
      </c>
      <c r="B188" s="12" t="s">
        <v>22</v>
      </c>
      <c r="C188" s="12" t="s">
        <v>23</v>
      </c>
      <c r="D188" s="12" t="s">
        <v>27</v>
      </c>
      <c r="E188" s="13" t="n">
        <v>5</v>
      </c>
      <c r="F188" s="14" t="n">
        <v>240.45</v>
      </c>
      <c r="G188" s="14" t="n">
        <f aca="false">E188*F188</f>
        <v>1202.25</v>
      </c>
      <c r="H188" s="12" t="n">
        <f aca="false">MONTH(A188)</f>
        <v>8</v>
      </c>
    </row>
    <row r="189" customFormat="false" ht="15" hidden="false" customHeight="false" outlineLevel="0" collapsed="false">
      <c r="A189" s="11" t="n">
        <v>45882</v>
      </c>
      <c r="B189" s="12" t="s">
        <v>34</v>
      </c>
      <c r="C189" s="12" t="s">
        <v>41</v>
      </c>
      <c r="D189" s="12" t="s">
        <v>21</v>
      </c>
      <c r="E189" s="13" t="n">
        <v>1</v>
      </c>
      <c r="F189" s="14" t="n">
        <v>1499</v>
      </c>
      <c r="G189" s="14" t="n">
        <f aca="false">E189*F189</f>
        <v>1499</v>
      </c>
      <c r="H189" s="12" t="n">
        <f aca="false">MONTH(A189)</f>
        <v>8</v>
      </c>
    </row>
    <row r="190" customFormat="false" ht="15" hidden="false" customHeight="false" outlineLevel="0" collapsed="false">
      <c r="A190" s="11" t="n">
        <v>45883</v>
      </c>
      <c r="B190" s="12" t="s">
        <v>34</v>
      </c>
      <c r="C190" s="12" t="s">
        <v>36</v>
      </c>
      <c r="D190" s="12" t="s">
        <v>32</v>
      </c>
      <c r="E190" s="13" t="n">
        <v>1</v>
      </c>
      <c r="F190" s="14" t="n">
        <v>2199</v>
      </c>
      <c r="G190" s="14" t="n">
        <f aca="false">E190*F190</f>
        <v>2199</v>
      </c>
      <c r="H190" s="12" t="n">
        <f aca="false">MONTH(A190)</f>
        <v>8</v>
      </c>
    </row>
    <row r="191" customFormat="false" ht="15" hidden="false" customHeight="false" outlineLevel="0" collapsed="false">
      <c r="A191" s="11" t="n">
        <v>45884</v>
      </c>
      <c r="B191" s="12" t="s">
        <v>19</v>
      </c>
      <c r="C191" s="12" t="s">
        <v>40</v>
      </c>
      <c r="D191" s="12" t="s">
        <v>27</v>
      </c>
      <c r="E191" s="13" t="n">
        <v>1</v>
      </c>
      <c r="F191" s="14" t="n">
        <v>188.9</v>
      </c>
      <c r="G191" s="14" t="n">
        <f aca="false">E191*F191</f>
        <v>188.9</v>
      </c>
      <c r="H191" s="12" t="n">
        <f aca="false">MONTH(A191)</f>
        <v>8</v>
      </c>
    </row>
    <row r="192" customFormat="false" ht="15" hidden="false" customHeight="false" outlineLevel="0" collapsed="false">
      <c r="A192" s="11" t="n">
        <v>45885</v>
      </c>
      <c r="B192" s="12" t="s">
        <v>34</v>
      </c>
      <c r="C192" s="12" t="s">
        <v>35</v>
      </c>
      <c r="D192" s="12" t="s">
        <v>21</v>
      </c>
      <c r="E192" s="13" t="n">
        <v>1</v>
      </c>
      <c r="F192" s="14" t="n">
        <v>3799</v>
      </c>
      <c r="G192" s="14" t="n">
        <f aca="false">E192*F192</f>
        <v>3799</v>
      </c>
      <c r="H192" s="12" t="n">
        <f aca="false">MONTH(A192)</f>
        <v>8</v>
      </c>
    </row>
    <row r="193" customFormat="false" ht="15" hidden="false" customHeight="false" outlineLevel="0" collapsed="false">
      <c r="A193" s="11" t="n">
        <v>45885</v>
      </c>
      <c r="B193" s="12" t="s">
        <v>19</v>
      </c>
      <c r="C193" s="12" t="s">
        <v>20</v>
      </c>
      <c r="D193" s="12" t="s">
        <v>21</v>
      </c>
      <c r="E193" s="13" t="n">
        <v>1</v>
      </c>
      <c r="F193" s="14" t="n">
        <v>233.91</v>
      </c>
      <c r="G193" s="14" t="n">
        <f aca="false">E193*F193</f>
        <v>233.91</v>
      </c>
      <c r="H193" s="12" t="n">
        <f aca="false">MONTH(A193)</f>
        <v>8</v>
      </c>
    </row>
    <row r="194" customFormat="false" ht="15" hidden="false" customHeight="false" outlineLevel="0" collapsed="false">
      <c r="A194" s="11" t="n">
        <v>45885</v>
      </c>
      <c r="B194" s="12" t="s">
        <v>22</v>
      </c>
      <c r="C194" s="12" t="s">
        <v>29</v>
      </c>
      <c r="D194" s="12" t="s">
        <v>21</v>
      </c>
      <c r="E194" s="13" t="n">
        <v>1</v>
      </c>
      <c r="F194" s="14" t="n">
        <v>129</v>
      </c>
      <c r="G194" s="14" t="n">
        <f aca="false">E194*F194</f>
        <v>129</v>
      </c>
      <c r="H194" s="12" t="n">
        <f aca="false">MONTH(A194)</f>
        <v>8</v>
      </c>
    </row>
    <row r="195" customFormat="false" ht="15" hidden="false" customHeight="false" outlineLevel="0" collapsed="false">
      <c r="A195" s="11" t="n">
        <v>45886</v>
      </c>
      <c r="B195" s="12" t="s">
        <v>19</v>
      </c>
      <c r="C195" s="12" t="s">
        <v>42</v>
      </c>
      <c r="D195" s="12" t="s">
        <v>21</v>
      </c>
      <c r="E195" s="13" t="n">
        <v>3</v>
      </c>
      <c r="F195" s="14" t="n">
        <v>134.91</v>
      </c>
      <c r="G195" s="14" t="n">
        <f aca="false">E195*F195</f>
        <v>404.73</v>
      </c>
      <c r="H195" s="12" t="n">
        <f aca="false">MONTH(A195)</f>
        <v>8</v>
      </c>
    </row>
    <row r="196" customFormat="false" ht="15" hidden="false" customHeight="false" outlineLevel="0" collapsed="false">
      <c r="A196" s="11" t="n">
        <v>45886</v>
      </c>
      <c r="B196" s="12" t="s">
        <v>19</v>
      </c>
      <c r="C196" s="12" t="s">
        <v>40</v>
      </c>
      <c r="D196" s="12" t="s">
        <v>21</v>
      </c>
      <c r="E196" s="13" t="n">
        <v>1</v>
      </c>
      <c r="F196" s="14" t="n">
        <v>161.91</v>
      </c>
      <c r="G196" s="14" t="n">
        <f aca="false">E196*F196</f>
        <v>161.91</v>
      </c>
      <c r="H196" s="12" t="n">
        <f aca="false">MONTH(A196)</f>
        <v>8</v>
      </c>
    </row>
    <row r="197" customFormat="false" ht="15" hidden="false" customHeight="false" outlineLevel="0" collapsed="false">
      <c r="A197" s="11" t="n">
        <v>45887</v>
      </c>
      <c r="B197" s="12" t="s">
        <v>22</v>
      </c>
      <c r="C197" s="12" t="s">
        <v>29</v>
      </c>
      <c r="D197" s="12" t="s">
        <v>27</v>
      </c>
      <c r="E197" s="13" t="n">
        <v>2</v>
      </c>
      <c r="F197" s="14" t="n">
        <v>129</v>
      </c>
      <c r="G197" s="14" t="n">
        <f aca="false">E197*F197</f>
        <v>258</v>
      </c>
      <c r="H197" s="12" t="n">
        <f aca="false">MONTH(A197)</f>
        <v>8</v>
      </c>
    </row>
    <row r="198" customFormat="false" ht="15" hidden="false" customHeight="false" outlineLevel="0" collapsed="false">
      <c r="A198" s="11" t="n">
        <v>45887</v>
      </c>
      <c r="B198" s="12" t="s">
        <v>22</v>
      </c>
      <c r="C198" s="12" t="s">
        <v>29</v>
      </c>
      <c r="D198" s="12" t="s">
        <v>32</v>
      </c>
      <c r="E198" s="13" t="n">
        <v>5</v>
      </c>
      <c r="F198" s="14" t="n">
        <v>129</v>
      </c>
      <c r="G198" s="14" t="n">
        <f aca="false">E198*F198</f>
        <v>645</v>
      </c>
      <c r="H198" s="12" t="n">
        <f aca="false">MONTH(A198)</f>
        <v>8</v>
      </c>
    </row>
    <row r="199" customFormat="false" ht="15" hidden="false" customHeight="false" outlineLevel="0" collapsed="false">
      <c r="A199" s="11" t="n">
        <v>45888</v>
      </c>
      <c r="B199" s="12" t="s">
        <v>19</v>
      </c>
      <c r="C199" s="12" t="s">
        <v>26</v>
      </c>
      <c r="D199" s="12" t="s">
        <v>32</v>
      </c>
      <c r="E199" s="13" t="n">
        <v>1</v>
      </c>
      <c r="F199" s="14" t="n">
        <v>265.9</v>
      </c>
      <c r="G199" s="14" t="n">
        <f aca="false">E199*F199</f>
        <v>265.9</v>
      </c>
      <c r="H199" s="12" t="n">
        <f aca="false">MONTH(A199)</f>
        <v>8</v>
      </c>
    </row>
    <row r="200" customFormat="false" ht="15" hidden="false" customHeight="false" outlineLevel="0" collapsed="false">
      <c r="A200" s="11" t="n">
        <v>45888</v>
      </c>
      <c r="B200" s="12" t="s">
        <v>22</v>
      </c>
      <c r="C200" s="12" t="s">
        <v>33</v>
      </c>
      <c r="D200" s="12" t="s">
        <v>32</v>
      </c>
      <c r="E200" s="13" t="n">
        <v>1</v>
      </c>
      <c r="F200" s="14" t="n">
        <v>249</v>
      </c>
      <c r="G200" s="14" t="n">
        <f aca="false">E200*F200</f>
        <v>249</v>
      </c>
      <c r="H200" s="12" t="n">
        <f aca="false">MONTH(A200)</f>
        <v>8</v>
      </c>
    </row>
    <row r="201" customFormat="false" ht="15" hidden="false" customHeight="false" outlineLevel="0" collapsed="false">
      <c r="A201" s="11" t="n">
        <v>45888</v>
      </c>
      <c r="B201" s="12" t="s">
        <v>22</v>
      </c>
      <c r="C201" s="12" t="s">
        <v>39</v>
      </c>
      <c r="D201" s="12" t="s">
        <v>21</v>
      </c>
      <c r="E201" s="13" t="n">
        <v>1</v>
      </c>
      <c r="F201" s="14" t="n">
        <v>449</v>
      </c>
      <c r="G201" s="14" t="n">
        <f aca="false">E201*F201</f>
        <v>449</v>
      </c>
      <c r="H201" s="12" t="n">
        <f aca="false">MONTH(A201)</f>
        <v>8</v>
      </c>
    </row>
    <row r="202" customFormat="false" ht="15" hidden="false" customHeight="false" outlineLevel="0" collapsed="false">
      <c r="A202" s="11" t="n">
        <v>45890</v>
      </c>
      <c r="B202" s="12" t="s">
        <v>19</v>
      </c>
      <c r="C202" s="12" t="s">
        <v>40</v>
      </c>
      <c r="D202" s="12" t="s">
        <v>21</v>
      </c>
      <c r="E202" s="13" t="n">
        <v>3</v>
      </c>
      <c r="F202" s="14" t="n">
        <v>188.9</v>
      </c>
      <c r="G202" s="14" t="n">
        <f aca="false">E202*F202</f>
        <v>566.7</v>
      </c>
      <c r="H202" s="12" t="n">
        <f aca="false">MONTH(A202)</f>
        <v>8</v>
      </c>
    </row>
    <row r="203" customFormat="false" ht="15" hidden="false" customHeight="false" outlineLevel="0" collapsed="false">
      <c r="A203" s="11" t="n">
        <v>45890</v>
      </c>
      <c r="B203" s="12" t="s">
        <v>19</v>
      </c>
      <c r="C203" s="12" t="s">
        <v>42</v>
      </c>
      <c r="D203" s="12" t="s">
        <v>21</v>
      </c>
      <c r="E203" s="13" t="n">
        <v>1</v>
      </c>
      <c r="F203" s="14" t="n">
        <v>142.41</v>
      </c>
      <c r="G203" s="14" t="n">
        <f aca="false">E203*F203</f>
        <v>142.41</v>
      </c>
      <c r="H203" s="12" t="n">
        <f aca="false">MONTH(A203)</f>
        <v>8</v>
      </c>
    </row>
    <row r="204" customFormat="false" ht="15" hidden="false" customHeight="false" outlineLevel="0" collapsed="false">
      <c r="A204" s="11" t="n">
        <v>45891</v>
      </c>
      <c r="B204" s="12" t="s">
        <v>22</v>
      </c>
      <c r="C204" s="12" t="s">
        <v>33</v>
      </c>
      <c r="D204" s="12" t="s">
        <v>24</v>
      </c>
      <c r="E204" s="13" t="n">
        <v>1</v>
      </c>
      <c r="F204" s="14" t="n">
        <v>224.1</v>
      </c>
      <c r="G204" s="14" t="n">
        <f aca="false">E204*F204</f>
        <v>224.1</v>
      </c>
      <c r="H204" s="12" t="n">
        <f aca="false">MONTH(A204)</f>
        <v>8</v>
      </c>
    </row>
    <row r="205" customFormat="false" ht="15" hidden="false" customHeight="false" outlineLevel="0" collapsed="false">
      <c r="A205" s="11" t="n">
        <v>45891</v>
      </c>
      <c r="B205" s="12" t="s">
        <v>34</v>
      </c>
      <c r="C205" s="12" t="s">
        <v>35</v>
      </c>
      <c r="D205" s="12" t="s">
        <v>21</v>
      </c>
      <c r="E205" s="13" t="n">
        <v>1</v>
      </c>
      <c r="F205" s="14" t="n">
        <v>3799</v>
      </c>
      <c r="G205" s="14" t="n">
        <f aca="false">E205*F205</f>
        <v>3799</v>
      </c>
      <c r="H205" s="12" t="n">
        <f aca="false">MONTH(A205)</f>
        <v>8</v>
      </c>
    </row>
    <row r="206" customFormat="false" ht="15" hidden="false" customHeight="false" outlineLevel="0" collapsed="false">
      <c r="A206" s="11" t="n">
        <v>45894</v>
      </c>
      <c r="B206" s="12" t="s">
        <v>19</v>
      </c>
      <c r="C206" s="12" t="s">
        <v>25</v>
      </c>
      <c r="D206" s="12" t="s">
        <v>27</v>
      </c>
      <c r="E206" s="13" t="n">
        <v>4</v>
      </c>
      <c r="F206" s="14" t="n">
        <v>237.41</v>
      </c>
      <c r="G206" s="14" t="n">
        <f aca="false">E206*F206</f>
        <v>949.64</v>
      </c>
      <c r="H206" s="12" t="n">
        <f aca="false">MONTH(A206)</f>
        <v>8</v>
      </c>
    </row>
    <row r="207" customFormat="false" ht="15" hidden="false" customHeight="false" outlineLevel="0" collapsed="false">
      <c r="A207" s="11" t="n">
        <v>45895</v>
      </c>
      <c r="B207" s="12" t="s">
        <v>19</v>
      </c>
      <c r="C207" s="12" t="s">
        <v>42</v>
      </c>
      <c r="D207" s="12" t="s">
        <v>24</v>
      </c>
      <c r="E207" s="13" t="n">
        <v>4</v>
      </c>
      <c r="F207" s="14" t="n">
        <v>142.41</v>
      </c>
      <c r="G207" s="14" t="n">
        <f aca="false">E207*F207</f>
        <v>569.64</v>
      </c>
      <c r="H207" s="12" t="n">
        <f aca="false">MONTH(A207)</f>
        <v>8</v>
      </c>
    </row>
    <row r="208" customFormat="false" ht="15" hidden="false" customHeight="false" outlineLevel="0" collapsed="false">
      <c r="A208" s="11" t="n">
        <v>45896</v>
      </c>
      <c r="B208" s="12" t="s">
        <v>19</v>
      </c>
      <c r="C208" s="12" t="s">
        <v>31</v>
      </c>
      <c r="D208" s="12" t="s">
        <v>21</v>
      </c>
      <c r="E208" s="13" t="n">
        <v>1</v>
      </c>
      <c r="F208" s="14" t="n">
        <v>349.9</v>
      </c>
      <c r="G208" s="14" t="n">
        <f aca="false">E208*F208</f>
        <v>349.9</v>
      </c>
      <c r="H208" s="12" t="n">
        <f aca="false">MONTH(A208)</f>
        <v>8</v>
      </c>
    </row>
    <row r="209" customFormat="false" ht="15" hidden="false" customHeight="false" outlineLevel="0" collapsed="false">
      <c r="A209" s="11" t="n">
        <v>45897</v>
      </c>
      <c r="B209" s="12" t="s">
        <v>22</v>
      </c>
      <c r="C209" s="12" t="s">
        <v>29</v>
      </c>
      <c r="D209" s="12" t="s">
        <v>21</v>
      </c>
      <c r="E209" s="13" t="n">
        <v>4</v>
      </c>
      <c r="F209" s="14" t="n">
        <v>129</v>
      </c>
      <c r="G209" s="14" t="n">
        <f aca="false">E209*F209</f>
        <v>516</v>
      </c>
      <c r="H209" s="12" t="n">
        <f aca="false">MONTH(A209)</f>
        <v>8</v>
      </c>
    </row>
    <row r="210" customFormat="false" ht="15" hidden="false" customHeight="false" outlineLevel="0" collapsed="false">
      <c r="A210" s="11" t="n">
        <v>45897</v>
      </c>
      <c r="B210" s="12" t="s">
        <v>19</v>
      </c>
      <c r="C210" s="12" t="s">
        <v>31</v>
      </c>
      <c r="D210" s="12" t="s">
        <v>27</v>
      </c>
      <c r="E210" s="13" t="n">
        <v>1</v>
      </c>
      <c r="F210" s="14" t="n">
        <v>314.91</v>
      </c>
      <c r="G210" s="14" t="n">
        <f aca="false">E210*F210</f>
        <v>314.91</v>
      </c>
      <c r="H210" s="12" t="n">
        <f aca="false">MONTH(A210)</f>
        <v>8</v>
      </c>
    </row>
    <row r="211" customFormat="false" ht="15" hidden="false" customHeight="false" outlineLevel="0" collapsed="false">
      <c r="A211" s="11" t="n">
        <v>45898</v>
      </c>
      <c r="B211" s="12" t="s">
        <v>19</v>
      </c>
      <c r="C211" s="12" t="s">
        <v>42</v>
      </c>
      <c r="D211" s="12" t="s">
        <v>21</v>
      </c>
      <c r="E211" s="13" t="n">
        <v>1</v>
      </c>
      <c r="F211" s="14" t="n">
        <v>134.91</v>
      </c>
      <c r="G211" s="14" t="n">
        <f aca="false">E211*F211</f>
        <v>134.91</v>
      </c>
      <c r="H211" s="12" t="n">
        <f aca="false">MONTH(A211)</f>
        <v>8</v>
      </c>
    </row>
    <row r="212" customFormat="false" ht="15" hidden="false" customHeight="false" outlineLevel="0" collapsed="false">
      <c r="A212" s="11" t="n">
        <v>45898</v>
      </c>
      <c r="B212" s="12" t="s">
        <v>19</v>
      </c>
      <c r="C212" s="12" t="s">
        <v>20</v>
      </c>
      <c r="D212" s="12" t="s">
        <v>38</v>
      </c>
      <c r="E212" s="13" t="n">
        <v>1</v>
      </c>
      <c r="F212" s="14" t="n">
        <v>246.9</v>
      </c>
      <c r="G212" s="14" t="n">
        <f aca="false">E212*F212</f>
        <v>246.9</v>
      </c>
      <c r="H212" s="12" t="n">
        <f aca="false">MONTH(A212)</f>
        <v>8</v>
      </c>
    </row>
    <row r="213" customFormat="false" ht="15" hidden="false" customHeight="false" outlineLevel="0" collapsed="false">
      <c r="A213" s="11" t="n">
        <v>45900</v>
      </c>
      <c r="B213" s="12" t="s">
        <v>22</v>
      </c>
      <c r="C213" s="12" t="s">
        <v>33</v>
      </c>
      <c r="D213" s="12" t="s">
        <v>32</v>
      </c>
      <c r="E213" s="13" t="n">
        <v>1</v>
      </c>
      <c r="F213" s="14" t="n">
        <v>261.45</v>
      </c>
      <c r="G213" s="14" t="n">
        <f aca="false">E213*F213</f>
        <v>261.45</v>
      </c>
      <c r="H213" s="12" t="n">
        <f aca="false">MONTH(A213)</f>
        <v>8</v>
      </c>
    </row>
    <row r="214" customFormat="false" ht="15" hidden="false" customHeight="false" outlineLevel="0" collapsed="false">
      <c r="A214" s="11" t="n">
        <v>45902</v>
      </c>
      <c r="B214" s="12" t="s">
        <v>19</v>
      </c>
      <c r="C214" s="12" t="s">
        <v>28</v>
      </c>
      <c r="D214" s="12" t="s">
        <v>21</v>
      </c>
      <c r="E214" s="13" t="n">
        <v>2</v>
      </c>
      <c r="F214" s="14" t="n">
        <v>299.9</v>
      </c>
      <c r="G214" s="14" t="n">
        <f aca="false">E214*F214</f>
        <v>599.8</v>
      </c>
      <c r="H214" s="12" t="n">
        <f aca="false">MONTH(A214)</f>
        <v>9</v>
      </c>
    </row>
    <row r="215" customFormat="false" ht="15" hidden="false" customHeight="false" outlineLevel="0" collapsed="false">
      <c r="A215" s="11" t="n">
        <v>45906</v>
      </c>
      <c r="B215" s="12" t="s">
        <v>19</v>
      </c>
      <c r="C215" s="12" t="s">
        <v>31</v>
      </c>
      <c r="D215" s="12" t="s">
        <v>27</v>
      </c>
      <c r="E215" s="13" t="n">
        <v>3</v>
      </c>
      <c r="F215" s="14" t="n">
        <v>349.9</v>
      </c>
      <c r="G215" s="14" t="n">
        <f aca="false">E215*F215</f>
        <v>1049.7</v>
      </c>
      <c r="H215" s="12" t="n">
        <f aca="false">MONTH(A215)</f>
        <v>9</v>
      </c>
    </row>
    <row r="216" customFormat="false" ht="15" hidden="false" customHeight="false" outlineLevel="0" collapsed="false">
      <c r="A216" s="11" t="n">
        <v>45907</v>
      </c>
      <c r="B216" s="12" t="s">
        <v>22</v>
      </c>
      <c r="C216" s="12" t="s">
        <v>39</v>
      </c>
      <c r="D216" s="12" t="s">
        <v>27</v>
      </c>
      <c r="E216" s="13" t="n">
        <v>1</v>
      </c>
      <c r="F216" s="14" t="n">
        <v>471.45</v>
      </c>
      <c r="G216" s="14" t="n">
        <f aca="false">E216*F216</f>
        <v>471.45</v>
      </c>
      <c r="H216" s="12" t="n">
        <f aca="false">MONTH(A216)</f>
        <v>9</v>
      </c>
    </row>
    <row r="217" customFormat="false" ht="15" hidden="false" customHeight="false" outlineLevel="0" collapsed="false">
      <c r="A217" s="11" t="n">
        <v>45911</v>
      </c>
      <c r="B217" s="12" t="s">
        <v>19</v>
      </c>
      <c r="C217" s="12" t="s">
        <v>40</v>
      </c>
      <c r="D217" s="12" t="s">
        <v>32</v>
      </c>
      <c r="E217" s="13" t="n">
        <v>2</v>
      </c>
      <c r="F217" s="14" t="n">
        <v>161.91</v>
      </c>
      <c r="G217" s="14" t="n">
        <f aca="false">E217*F217</f>
        <v>323.82</v>
      </c>
      <c r="H217" s="12" t="n">
        <f aca="false">MONTH(A217)</f>
        <v>9</v>
      </c>
    </row>
    <row r="218" customFormat="false" ht="15" hidden="false" customHeight="false" outlineLevel="0" collapsed="false">
      <c r="A218" s="11" t="n">
        <v>45912</v>
      </c>
      <c r="B218" s="12" t="s">
        <v>22</v>
      </c>
      <c r="C218" s="12" t="s">
        <v>23</v>
      </c>
      <c r="D218" s="12" t="s">
        <v>32</v>
      </c>
      <c r="E218" s="13" t="n">
        <v>1</v>
      </c>
      <c r="F218" s="14" t="n">
        <v>229</v>
      </c>
      <c r="G218" s="14" t="n">
        <f aca="false">E218*F218</f>
        <v>229</v>
      </c>
      <c r="H218" s="12" t="n">
        <f aca="false">MONTH(A218)</f>
        <v>9</v>
      </c>
    </row>
    <row r="219" customFormat="false" ht="15" hidden="false" customHeight="false" outlineLevel="0" collapsed="false">
      <c r="A219" s="11" t="n">
        <v>45914</v>
      </c>
      <c r="B219" s="12" t="s">
        <v>19</v>
      </c>
      <c r="C219" s="12" t="s">
        <v>20</v>
      </c>
      <c r="D219" s="12" t="s">
        <v>21</v>
      </c>
      <c r="E219" s="13" t="n">
        <v>1</v>
      </c>
      <c r="F219" s="14" t="n">
        <v>233.91</v>
      </c>
      <c r="G219" s="14" t="n">
        <f aca="false">E219*F219</f>
        <v>233.91</v>
      </c>
      <c r="H219" s="12" t="n">
        <f aca="false">MONTH(A219)</f>
        <v>9</v>
      </c>
    </row>
    <row r="220" customFormat="false" ht="15" hidden="false" customHeight="false" outlineLevel="0" collapsed="false">
      <c r="A220" s="11" t="n">
        <v>45915</v>
      </c>
      <c r="B220" s="12" t="s">
        <v>19</v>
      </c>
      <c r="C220" s="12" t="s">
        <v>28</v>
      </c>
      <c r="D220" s="12" t="s">
        <v>32</v>
      </c>
      <c r="E220" s="13" t="n">
        <v>3</v>
      </c>
      <c r="F220" s="14" t="n">
        <v>299.9</v>
      </c>
      <c r="G220" s="14" t="n">
        <f aca="false">E220*F220</f>
        <v>899.7</v>
      </c>
      <c r="H220" s="12" t="n">
        <f aca="false">MONTH(A220)</f>
        <v>9</v>
      </c>
    </row>
    <row r="221" customFormat="false" ht="15" hidden="false" customHeight="false" outlineLevel="0" collapsed="false">
      <c r="A221" s="11" t="n">
        <v>45916</v>
      </c>
      <c r="B221" s="12" t="s">
        <v>19</v>
      </c>
      <c r="C221" s="12" t="s">
        <v>37</v>
      </c>
      <c r="D221" s="12" t="s">
        <v>21</v>
      </c>
      <c r="E221" s="13" t="n">
        <v>1</v>
      </c>
      <c r="F221" s="14" t="n">
        <v>199.9</v>
      </c>
      <c r="G221" s="14" t="n">
        <f aca="false">E221*F221</f>
        <v>199.9</v>
      </c>
      <c r="H221" s="12" t="n">
        <f aca="false">MONTH(A221)</f>
        <v>9</v>
      </c>
    </row>
    <row r="222" customFormat="false" ht="15" hidden="false" customHeight="false" outlineLevel="0" collapsed="false">
      <c r="A222" s="11" t="n">
        <v>45916</v>
      </c>
      <c r="B222" s="12" t="s">
        <v>19</v>
      </c>
      <c r="C222" s="12" t="s">
        <v>20</v>
      </c>
      <c r="D222" s="12" t="s">
        <v>38</v>
      </c>
      <c r="E222" s="13" t="n">
        <v>3</v>
      </c>
      <c r="F222" s="14" t="n">
        <v>233.91</v>
      </c>
      <c r="G222" s="14" t="n">
        <f aca="false">E222*F222</f>
        <v>701.73</v>
      </c>
      <c r="H222" s="12" t="n">
        <f aca="false">MONTH(A222)</f>
        <v>9</v>
      </c>
    </row>
    <row r="223" customFormat="false" ht="15" hidden="false" customHeight="false" outlineLevel="0" collapsed="false">
      <c r="A223" s="11" t="n">
        <v>45916</v>
      </c>
      <c r="B223" s="12" t="s">
        <v>19</v>
      </c>
      <c r="C223" s="12" t="s">
        <v>26</v>
      </c>
      <c r="D223" s="12" t="s">
        <v>21</v>
      </c>
      <c r="E223" s="13" t="n">
        <v>1</v>
      </c>
      <c r="F223" s="14" t="n">
        <v>279.9</v>
      </c>
      <c r="G223" s="14" t="n">
        <f aca="false">E223*F223</f>
        <v>279.9</v>
      </c>
      <c r="H223" s="12" t="n">
        <f aca="false">MONTH(A223)</f>
        <v>9</v>
      </c>
    </row>
    <row r="224" customFormat="false" ht="15" hidden="false" customHeight="false" outlineLevel="0" collapsed="false">
      <c r="A224" s="11" t="n">
        <v>45916</v>
      </c>
      <c r="B224" s="12" t="s">
        <v>19</v>
      </c>
      <c r="C224" s="12" t="s">
        <v>31</v>
      </c>
      <c r="D224" s="12" t="s">
        <v>32</v>
      </c>
      <c r="E224" s="13" t="n">
        <v>2</v>
      </c>
      <c r="F224" s="14" t="n">
        <v>332.4</v>
      </c>
      <c r="G224" s="14" t="n">
        <f aca="false">E224*F224</f>
        <v>664.8</v>
      </c>
      <c r="H224" s="12" t="n">
        <f aca="false">MONTH(A224)</f>
        <v>9</v>
      </c>
    </row>
    <row r="225" customFormat="false" ht="15" hidden="false" customHeight="false" outlineLevel="0" collapsed="false">
      <c r="A225" s="11" t="n">
        <v>45917</v>
      </c>
      <c r="B225" s="12" t="s">
        <v>22</v>
      </c>
      <c r="C225" s="12" t="s">
        <v>29</v>
      </c>
      <c r="D225" s="12" t="s">
        <v>21</v>
      </c>
      <c r="E225" s="13" t="n">
        <v>1</v>
      </c>
      <c r="F225" s="14" t="n">
        <v>122.55</v>
      </c>
      <c r="G225" s="14" t="n">
        <f aca="false">E225*F225</f>
        <v>122.55</v>
      </c>
      <c r="H225" s="12" t="n">
        <f aca="false">MONTH(A225)</f>
        <v>9</v>
      </c>
    </row>
    <row r="226" customFormat="false" ht="15" hidden="false" customHeight="false" outlineLevel="0" collapsed="false">
      <c r="A226" s="11" t="n">
        <v>45918</v>
      </c>
      <c r="B226" s="12" t="s">
        <v>19</v>
      </c>
      <c r="C226" s="12" t="s">
        <v>37</v>
      </c>
      <c r="D226" s="12" t="s">
        <v>38</v>
      </c>
      <c r="E226" s="13" t="n">
        <v>1</v>
      </c>
      <c r="F226" s="14" t="n">
        <v>199.9</v>
      </c>
      <c r="G226" s="14" t="n">
        <f aca="false">E226*F226</f>
        <v>199.9</v>
      </c>
      <c r="H226" s="12" t="n">
        <f aca="false">MONTH(A226)</f>
        <v>9</v>
      </c>
    </row>
    <row r="227" customFormat="false" ht="15" hidden="false" customHeight="false" outlineLevel="0" collapsed="false">
      <c r="A227" s="11" t="n">
        <v>45918</v>
      </c>
      <c r="B227" s="12" t="s">
        <v>19</v>
      </c>
      <c r="C227" s="12" t="s">
        <v>42</v>
      </c>
      <c r="D227" s="12" t="s">
        <v>24</v>
      </c>
      <c r="E227" s="13" t="n">
        <v>1</v>
      </c>
      <c r="F227" s="14" t="n">
        <v>149.9</v>
      </c>
      <c r="G227" s="14" t="n">
        <f aca="false">E227*F227</f>
        <v>149.9</v>
      </c>
      <c r="H227" s="12" t="n">
        <f aca="false">MONTH(A227)</f>
        <v>9</v>
      </c>
    </row>
    <row r="228" customFormat="false" ht="15" hidden="false" customHeight="false" outlineLevel="0" collapsed="false">
      <c r="A228" s="11" t="n">
        <v>45919</v>
      </c>
      <c r="B228" s="12" t="s">
        <v>34</v>
      </c>
      <c r="C228" s="12" t="s">
        <v>36</v>
      </c>
      <c r="D228" s="12" t="s">
        <v>21</v>
      </c>
      <c r="E228" s="13" t="n">
        <v>3</v>
      </c>
      <c r="F228" s="14" t="n">
        <v>2308.95</v>
      </c>
      <c r="G228" s="14" t="n">
        <f aca="false">E228*F228</f>
        <v>6926.85</v>
      </c>
      <c r="H228" s="12" t="n">
        <f aca="false">MONTH(A228)</f>
        <v>9</v>
      </c>
    </row>
    <row r="229" customFormat="false" ht="15" hidden="false" customHeight="false" outlineLevel="0" collapsed="false">
      <c r="A229" s="11" t="n">
        <v>45921</v>
      </c>
      <c r="B229" s="12" t="s">
        <v>19</v>
      </c>
      <c r="C229" s="12" t="s">
        <v>20</v>
      </c>
      <c r="D229" s="12" t="s">
        <v>21</v>
      </c>
      <c r="E229" s="13" t="n">
        <v>1</v>
      </c>
      <c r="F229" s="14" t="n">
        <v>246.9</v>
      </c>
      <c r="G229" s="14" t="n">
        <f aca="false">E229*F229</f>
        <v>246.9</v>
      </c>
      <c r="H229" s="12" t="n">
        <f aca="false">MONTH(A229)</f>
        <v>9</v>
      </c>
    </row>
    <row r="230" customFormat="false" ht="15" hidden="false" customHeight="false" outlineLevel="0" collapsed="false">
      <c r="A230" s="11" t="n">
        <v>45921</v>
      </c>
      <c r="B230" s="12" t="s">
        <v>19</v>
      </c>
      <c r="C230" s="12" t="s">
        <v>20</v>
      </c>
      <c r="D230" s="12" t="s">
        <v>21</v>
      </c>
      <c r="E230" s="13" t="n">
        <v>3</v>
      </c>
      <c r="F230" s="14" t="n">
        <v>259.9</v>
      </c>
      <c r="G230" s="14" t="n">
        <f aca="false">E230*F230</f>
        <v>779.7</v>
      </c>
      <c r="H230" s="12" t="n">
        <f aca="false">MONTH(A230)</f>
        <v>9</v>
      </c>
    </row>
    <row r="231" customFormat="false" ht="15" hidden="false" customHeight="false" outlineLevel="0" collapsed="false">
      <c r="A231" s="11" t="n">
        <v>45922</v>
      </c>
      <c r="B231" s="12" t="s">
        <v>19</v>
      </c>
      <c r="C231" s="12" t="s">
        <v>28</v>
      </c>
      <c r="D231" s="12" t="s">
        <v>32</v>
      </c>
      <c r="E231" s="13" t="n">
        <v>1</v>
      </c>
      <c r="F231" s="14" t="n">
        <v>284.9</v>
      </c>
      <c r="G231" s="14" t="n">
        <f aca="false">E231*F231</f>
        <v>284.9</v>
      </c>
      <c r="H231" s="12" t="n">
        <f aca="false">MONTH(A231)</f>
        <v>9</v>
      </c>
    </row>
    <row r="232" customFormat="false" ht="15" hidden="false" customHeight="false" outlineLevel="0" collapsed="false">
      <c r="A232" s="11" t="n">
        <v>45923</v>
      </c>
      <c r="B232" s="12" t="s">
        <v>19</v>
      </c>
      <c r="C232" s="12" t="s">
        <v>26</v>
      </c>
      <c r="D232" s="12" t="s">
        <v>38</v>
      </c>
      <c r="E232" s="13" t="n">
        <v>1</v>
      </c>
      <c r="F232" s="14" t="n">
        <v>279.9</v>
      </c>
      <c r="G232" s="14" t="n">
        <f aca="false">E232*F232</f>
        <v>279.9</v>
      </c>
      <c r="H232" s="12" t="n">
        <f aca="false">MONTH(A232)</f>
        <v>9</v>
      </c>
    </row>
    <row r="233" customFormat="false" ht="15" hidden="false" customHeight="false" outlineLevel="0" collapsed="false">
      <c r="A233" s="11" t="n">
        <v>45925</v>
      </c>
      <c r="B233" s="12" t="s">
        <v>19</v>
      </c>
      <c r="C233" s="12" t="s">
        <v>20</v>
      </c>
      <c r="D233" s="12" t="s">
        <v>21</v>
      </c>
      <c r="E233" s="13" t="n">
        <v>2</v>
      </c>
      <c r="F233" s="14" t="n">
        <v>233.91</v>
      </c>
      <c r="G233" s="14" t="n">
        <f aca="false">E233*F233</f>
        <v>467.82</v>
      </c>
      <c r="H233" s="12" t="n">
        <f aca="false">MONTH(A233)</f>
        <v>9</v>
      </c>
    </row>
    <row r="234" customFormat="false" ht="15" hidden="false" customHeight="false" outlineLevel="0" collapsed="false">
      <c r="A234" s="11" t="n">
        <v>45928</v>
      </c>
      <c r="B234" s="12" t="s">
        <v>19</v>
      </c>
      <c r="C234" s="12" t="s">
        <v>37</v>
      </c>
      <c r="D234" s="12" t="s">
        <v>32</v>
      </c>
      <c r="E234" s="13" t="n">
        <v>1</v>
      </c>
      <c r="F234" s="14" t="n">
        <v>189.91</v>
      </c>
      <c r="G234" s="14" t="n">
        <f aca="false">E234*F234</f>
        <v>189.91</v>
      </c>
      <c r="H234" s="12" t="n">
        <f aca="false">MONTH(A234)</f>
        <v>9</v>
      </c>
    </row>
    <row r="235" customFormat="false" ht="15" hidden="false" customHeight="false" outlineLevel="0" collapsed="false">
      <c r="A235" s="11" t="n">
        <v>45928</v>
      </c>
      <c r="B235" s="12" t="s">
        <v>34</v>
      </c>
      <c r="C235" s="12" t="s">
        <v>41</v>
      </c>
      <c r="D235" s="12" t="s">
        <v>21</v>
      </c>
      <c r="E235" s="13" t="n">
        <v>1</v>
      </c>
      <c r="F235" s="14" t="n">
        <v>1499</v>
      </c>
      <c r="G235" s="14" t="n">
        <f aca="false">E235*F235</f>
        <v>1499</v>
      </c>
      <c r="H235" s="12" t="n">
        <f aca="false">MONTH(A235)</f>
        <v>9</v>
      </c>
    </row>
    <row r="236" customFormat="false" ht="15" hidden="false" customHeight="false" outlineLevel="0" collapsed="false">
      <c r="A236" s="11" t="n">
        <v>45929</v>
      </c>
      <c r="B236" s="12" t="s">
        <v>19</v>
      </c>
      <c r="C236" s="12" t="s">
        <v>31</v>
      </c>
      <c r="D236" s="12" t="s">
        <v>32</v>
      </c>
      <c r="E236" s="13" t="n">
        <v>1</v>
      </c>
      <c r="F236" s="14" t="n">
        <v>314.91</v>
      </c>
      <c r="G236" s="14" t="n">
        <f aca="false">E236*F236</f>
        <v>314.91</v>
      </c>
      <c r="H236" s="12" t="n">
        <f aca="false">MONTH(A236)</f>
        <v>9</v>
      </c>
    </row>
    <row r="237" customFormat="false" ht="15" hidden="false" customHeight="false" outlineLevel="0" collapsed="false">
      <c r="A237" s="11" t="n">
        <v>45934</v>
      </c>
      <c r="B237" s="12" t="s">
        <v>22</v>
      </c>
      <c r="C237" s="12" t="s">
        <v>33</v>
      </c>
      <c r="D237" s="12" t="s">
        <v>32</v>
      </c>
      <c r="E237" s="13" t="n">
        <v>1</v>
      </c>
      <c r="F237" s="14" t="n">
        <v>261.45</v>
      </c>
      <c r="G237" s="14" t="n">
        <f aca="false">E237*F237</f>
        <v>261.45</v>
      </c>
      <c r="H237" s="12" t="n">
        <f aca="false">MONTH(A237)</f>
        <v>10</v>
      </c>
    </row>
    <row r="238" customFormat="false" ht="15" hidden="false" customHeight="false" outlineLevel="0" collapsed="false">
      <c r="A238" s="11" t="n">
        <v>45935</v>
      </c>
      <c r="B238" s="12" t="s">
        <v>19</v>
      </c>
      <c r="C238" s="12" t="s">
        <v>31</v>
      </c>
      <c r="D238" s="12" t="s">
        <v>38</v>
      </c>
      <c r="E238" s="13" t="n">
        <v>3</v>
      </c>
      <c r="F238" s="14" t="n">
        <v>367.39</v>
      </c>
      <c r="G238" s="14" t="n">
        <f aca="false">E238*F238</f>
        <v>1102.17</v>
      </c>
      <c r="H238" s="12" t="n">
        <f aca="false">MONTH(A238)</f>
        <v>10</v>
      </c>
    </row>
    <row r="239" customFormat="false" ht="15" hidden="false" customHeight="false" outlineLevel="0" collapsed="false">
      <c r="A239" s="11" t="n">
        <v>45937</v>
      </c>
      <c r="B239" s="12" t="s">
        <v>19</v>
      </c>
      <c r="C239" s="12" t="s">
        <v>25</v>
      </c>
      <c r="D239" s="12" t="s">
        <v>21</v>
      </c>
      <c r="E239" s="13" t="n">
        <v>2</v>
      </c>
      <c r="F239" s="14" t="n">
        <v>249.9</v>
      </c>
      <c r="G239" s="14" t="n">
        <f aca="false">E239*F239</f>
        <v>499.8</v>
      </c>
      <c r="H239" s="12" t="n">
        <f aca="false">MONTH(A239)</f>
        <v>10</v>
      </c>
    </row>
    <row r="240" customFormat="false" ht="15" hidden="false" customHeight="false" outlineLevel="0" collapsed="false">
      <c r="A240" s="11" t="n">
        <v>45939</v>
      </c>
      <c r="B240" s="12" t="s">
        <v>34</v>
      </c>
      <c r="C240" s="12" t="s">
        <v>41</v>
      </c>
      <c r="D240" s="12" t="s">
        <v>38</v>
      </c>
      <c r="E240" s="13" t="n">
        <v>1</v>
      </c>
      <c r="F240" s="14" t="n">
        <v>1499</v>
      </c>
      <c r="G240" s="14" t="n">
        <f aca="false">E240*F240</f>
        <v>1499</v>
      </c>
      <c r="H240" s="12" t="n">
        <f aca="false">MONTH(A240)</f>
        <v>10</v>
      </c>
    </row>
    <row r="241" customFormat="false" ht="15" hidden="false" customHeight="false" outlineLevel="0" collapsed="false">
      <c r="A241" s="11" t="n">
        <v>45940</v>
      </c>
      <c r="B241" s="12" t="s">
        <v>19</v>
      </c>
      <c r="C241" s="12" t="s">
        <v>42</v>
      </c>
      <c r="D241" s="12" t="s">
        <v>27</v>
      </c>
      <c r="E241" s="13" t="n">
        <v>3</v>
      </c>
      <c r="F241" s="14" t="n">
        <v>149.9</v>
      </c>
      <c r="G241" s="14" t="n">
        <f aca="false">E241*F241</f>
        <v>449.7</v>
      </c>
      <c r="H241" s="12" t="n">
        <f aca="false">MONTH(A241)</f>
        <v>10</v>
      </c>
    </row>
    <row r="242" customFormat="false" ht="15" hidden="false" customHeight="false" outlineLevel="0" collapsed="false">
      <c r="A242" s="11" t="n">
        <v>45940</v>
      </c>
      <c r="B242" s="12" t="s">
        <v>19</v>
      </c>
      <c r="C242" s="12" t="s">
        <v>26</v>
      </c>
      <c r="D242" s="12" t="s">
        <v>24</v>
      </c>
      <c r="E242" s="13" t="n">
        <v>4</v>
      </c>
      <c r="F242" s="14" t="n">
        <v>251.91</v>
      </c>
      <c r="G242" s="14" t="n">
        <f aca="false">E242*F242</f>
        <v>1007.64</v>
      </c>
      <c r="H242" s="12" t="n">
        <f aca="false">MONTH(A242)</f>
        <v>10</v>
      </c>
    </row>
    <row r="243" customFormat="false" ht="15" hidden="false" customHeight="false" outlineLevel="0" collapsed="false">
      <c r="A243" s="11" t="n">
        <v>45940</v>
      </c>
      <c r="B243" s="12" t="s">
        <v>19</v>
      </c>
      <c r="C243" s="12" t="s">
        <v>31</v>
      </c>
      <c r="D243" s="12" t="s">
        <v>27</v>
      </c>
      <c r="E243" s="13" t="n">
        <v>1</v>
      </c>
      <c r="F243" s="14" t="n">
        <v>367.39</v>
      </c>
      <c r="G243" s="14" t="n">
        <f aca="false">E243*F243</f>
        <v>367.39</v>
      </c>
      <c r="H243" s="12" t="n">
        <f aca="false">MONTH(A243)</f>
        <v>10</v>
      </c>
    </row>
    <row r="244" customFormat="false" ht="15" hidden="false" customHeight="false" outlineLevel="0" collapsed="false">
      <c r="A244" s="11" t="n">
        <v>45941</v>
      </c>
      <c r="B244" s="12" t="s">
        <v>34</v>
      </c>
      <c r="C244" s="12" t="s">
        <v>36</v>
      </c>
      <c r="D244" s="12" t="s">
        <v>21</v>
      </c>
      <c r="E244" s="13" t="n">
        <v>1</v>
      </c>
      <c r="F244" s="14" t="n">
        <v>2199</v>
      </c>
      <c r="G244" s="14" t="n">
        <f aca="false">E244*F244</f>
        <v>2199</v>
      </c>
      <c r="H244" s="12" t="n">
        <f aca="false">MONTH(A244)</f>
        <v>10</v>
      </c>
    </row>
    <row r="245" customFormat="false" ht="15" hidden="false" customHeight="false" outlineLevel="0" collapsed="false">
      <c r="A245" s="11" t="n">
        <v>45942</v>
      </c>
      <c r="B245" s="12" t="s">
        <v>34</v>
      </c>
      <c r="C245" s="12" t="s">
        <v>35</v>
      </c>
      <c r="D245" s="12" t="s">
        <v>21</v>
      </c>
      <c r="E245" s="13" t="n">
        <v>1</v>
      </c>
      <c r="F245" s="14" t="n">
        <v>3419.1</v>
      </c>
      <c r="G245" s="14" t="n">
        <f aca="false">E245*F245</f>
        <v>3419.1</v>
      </c>
      <c r="H245" s="12" t="n">
        <f aca="false">MONTH(A245)</f>
        <v>10</v>
      </c>
    </row>
    <row r="246" customFormat="false" ht="15" hidden="false" customHeight="false" outlineLevel="0" collapsed="false">
      <c r="A246" s="11" t="n">
        <v>45942</v>
      </c>
      <c r="B246" s="12" t="s">
        <v>22</v>
      </c>
      <c r="C246" s="12" t="s">
        <v>30</v>
      </c>
      <c r="D246" s="12" t="s">
        <v>32</v>
      </c>
      <c r="E246" s="13" t="n">
        <v>2</v>
      </c>
      <c r="F246" s="14" t="n">
        <v>149.9</v>
      </c>
      <c r="G246" s="14" t="n">
        <f aca="false">E246*F246</f>
        <v>299.8</v>
      </c>
      <c r="H246" s="12" t="n">
        <f aca="false">MONTH(A246)</f>
        <v>10</v>
      </c>
    </row>
    <row r="247" customFormat="false" ht="15" hidden="false" customHeight="false" outlineLevel="0" collapsed="false">
      <c r="A247" s="11" t="n">
        <v>45943</v>
      </c>
      <c r="B247" s="12" t="s">
        <v>34</v>
      </c>
      <c r="C247" s="12" t="s">
        <v>36</v>
      </c>
      <c r="D247" s="12" t="s">
        <v>38</v>
      </c>
      <c r="E247" s="13" t="n">
        <v>2</v>
      </c>
      <c r="F247" s="14" t="n">
        <v>2199</v>
      </c>
      <c r="G247" s="14" t="n">
        <f aca="false">E247*F247</f>
        <v>4398</v>
      </c>
      <c r="H247" s="12" t="n">
        <f aca="false">MONTH(A247)</f>
        <v>10</v>
      </c>
    </row>
    <row r="248" customFormat="false" ht="15" hidden="false" customHeight="false" outlineLevel="0" collapsed="false">
      <c r="A248" s="11" t="n">
        <v>45943</v>
      </c>
      <c r="B248" s="12" t="s">
        <v>19</v>
      </c>
      <c r="C248" s="12" t="s">
        <v>40</v>
      </c>
      <c r="D248" s="12" t="s">
        <v>21</v>
      </c>
      <c r="E248" s="13" t="n">
        <v>2</v>
      </c>
      <c r="F248" s="14" t="n">
        <v>161.91</v>
      </c>
      <c r="G248" s="14" t="n">
        <f aca="false">E248*F248</f>
        <v>323.82</v>
      </c>
      <c r="H248" s="12" t="n">
        <f aca="false">MONTH(A248)</f>
        <v>10</v>
      </c>
    </row>
    <row r="249" customFormat="false" ht="15" hidden="false" customHeight="false" outlineLevel="0" collapsed="false">
      <c r="A249" s="11" t="n">
        <v>45947</v>
      </c>
      <c r="B249" s="12" t="s">
        <v>19</v>
      </c>
      <c r="C249" s="12" t="s">
        <v>31</v>
      </c>
      <c r="D249" s="12" t="s">
        <v>21</v>
      </c>
      <c r="E249" s="13" t="n">
        <v>3</v>
      </c>
      <c r="F249" s="14" t="n">
        <v>349.9</v>
      </c>
      <c r="G249" s="14" t="n">
        <f aca="false">E249*F249</f>
        <v>1049.7</v>
      </c>
      <c r="H249" s="12" t="n">
        <f aca="false">MONTH(A249)</f>
        <v>10</v>
      </c>
    </row>
    <row r="250" customFormat="false" ht="15" hidden="false" customHeight="false" outlineLevel="0" collapsed="false">
      <c r="A250" s="11" t="n">
        <v>45947</v>
      </c>
      <c r="B250" s="12" t="s">
        <v>34</v>
      </c>
      <c r="C250" s="12" t="s">
        <v>41</v>
      </c>
      <c r="D250" s="12" t="s">
        <v>21</v>
      </c>
      <c r="E250" s="13" t="n">
        <v>1</v>
      </c>
      <c r="F250" s="14" t="n">
        <v>1499</v>
      </c>
      <c r="G250" s="14" t="n">
        <f aca="false">E250*F250</f>
        <v>1499</v>
      </c>
      <c r="H250" s="12" t="n">
        <f aca="false">MONTH(A250)</f>
        <v>10</v>
      </c>
    </row>
    <row r="251" customFormat="false" ht="15" hidden="false" customHeight="false" outlineLevel="0" collapsed="false">
      <c r="A251" s="11" t="n">
        <v>45948</v>
      </c>
      <c r="B251" s="12" t="s">
        <v>34</v>
      </c>
      <c r="C251" s="12" t="s">
        <v>35</v>
      </c>
      <c r="D251" s="12" t="s">
        <v>32</v>
      </c>
      <c r="E251" s="13" t="n">
        <v>2</v>
      </c>
      <c r="F251" s="14" t="n">
        <v>3799</v>
      </c>
      <c r="G251" s="14" t="n">
        <f aca="false">E251*F251</f>
        <v>7598</v>
      </c>
      <c r="H251" s="12" t="n">
        <f aca="false">MONTH(A251)</f>
        <v>10</v>
      </c>
    </row>
    <row r="252" customFormat="false" ht="15" hidden="false" customHeight="false" outlineLevel="0" collapsed="false">
      <c r="A252" s="11" t="n">
        <v>45949</v>
      </c>
      <c r="B252" s="12" t="s">
        <v>19</v>
      </c>
      <c r="C252" s="12" t="s">
        <v>37</v>
      </c>
      <c r="D252" s="12" t="s">
        <v>21</v>
      </c>
      <c r="E252" s="13" t="n">
        <v>1</v>
      </c>
      <c r="F252" s="14" t="n">
        <v>189.91</v>
      </c>
      <c r="G252" s="14" t="n">
        <f aca="false">E252*F252</f>
        <v>189.91</v>
      </c>
      <c r="H252" s="12" t="n">
        <f aca="false">MONTH(A252)</f>
        <v>10</v>
      </c>
    </row>
    <row r="253" customFormat="false" ht="15" hidden="false" customHeight="false" outlineLevel="0" collapsed="false">
      <c r="A253" s="11" t="n">
        <v>45952</v>
      </c>
      <c r="B253" s="12" t="s">
        <v>19</v>
      </c>
      <c r="C253" s="12" t="s">
        <v>31</v>
      </c>
      <c r="D253" s="12" t="s">
        <v>21</v>
      </c>
      <c r="E253" s="13" t="n">
        <v>3</v>
      </c>
      <c r="F253" s="14" t="n">
        <v>314.91</v>
      </c>
      <c r="G253" s="14" t="n">
        <f aca="false">E253*F253</f>
        <v>944.73</v>
      </c>
      <c r="H253" s="12" t="n">
        <f aca="false">MONTH(A253)</f>
        <v>10</v>
      </c>
    </row>
    <row r="254" customFormat="false" ht="15" hidden="false" customHeight="false" outlineLevel="0" collapsed="false">
      <c r="A254" s="11" t="n">
        <v>45953</v>
      </c>
      <c r="B254" s="12" t="s">
        <v>19</v>
      </c>
      <c r="C254" s="12" t="s">
        <v>20</v>
      </c>
      <c r="D254" s="12" t="s">
        <v>32</v>
      </c>
      <c r="E254" s="13" t="n">
        <v>1</v>
      </c>
      <c r="F254" s="14" t="n">
        <v>259.9</v>
      </c>
      <c r="G254" s="14" t="n">
        <f aca="false">E254*F254</f>
        <v>259.9</v>
      </c>
      <c r="H254" s="12" t="n">
        <f aca="false">MONTH(A254)</f>
        <v>10</v>
      </c>
    </row>
    <row r="255" customFormat="false" ht="15" hidden="false" customHeight="false" outlineLevel="0" collapsed="false">
      <c r="A255" s="11" t="n">
        <v>45954</v>
      </c>
      <c r="B255" s="12" t="s">
        <v>22</v>
      </c>
      <c r="C255" s="12" t="s">
        <v>39</v>
      </c>
      <c r="D255" s="12" t="s">
        <v>32</v>
      </c>
      <c r="E255" s="13" t="n">
        <v>1</v>
      </c>
      <c r="F255" s="14" t="n">
        <v>426.55</v>
      </c>
      <c r="G255" s="14" t="n">
        <f aca="false">E255*F255</f>
        <v>426.55</v>
      </c>
      <c r="H255" s="12" t="n">
        <f aca="false">MONTH(A255)</f>
        <v>10</v>
      </c>
    </row>
    <row r="256" customFormat="false" ht="15" hidden="false" customHeight="false" outlineLevel="0" collapsed="false">
      <c r="A256" s="11" t="n">
        <v>45957</v>
      </c>
      <c r="B256" s="12" t="s">
        <v>19</v>
      </c>
      <c r="C256" s="12" t="s">
        <v>40</v>
      </c>
      <c r="D256" s="12" t="s">
        <v>21</v>
      </c>
      <c r="E256" s="13" t="n">
        <v>5</v>
      </c>
      <c r="F256" s="14" t="n">
        <v>179.9</v>
      </c>
      <c r="G256" s="14" t="n">
        <f aca="false">E256*F256</f>
        <v>899.5</v>
      </c>
      <c r="H256" s="12" t="n">
        <f aca="false">MONTH(A256)</f>
        <v>10</v>
      </c>
    </row>
    <row r="257" customFormat="false" ht="15" hidden="false" customHeight="false" outlineLevel="0" collapsed="false">
      <c r="A257" s="11" t="n">
        <v>45958</v>
      </c>
      <c r="B257" s="12" t="s">
        <v>22</v>
      </c>
      <c r="C257" s="12" t="s">
        <v>23</v>
      </c>
      <c r="D257" s="12" t="s">
        <v>27</v>
      </c>
      <c r="E257" s="13" t="n">
        <v>3</v>
      </c>
      <c r="F257" s="14" t="n">
        <v>229</v>
      </c>
      <c r="G257" s="14" t="n">
        <f aca="false">E257*F257</f>
        <v>687</v>
      </c>
      <c r="H257" s="12" t="n">
        <f aca="false">MONTH(A257)</f>
        <v>10</v>
      </c>
    </row>
    <row r="258" customFormat="false" ht="15" hidden="false" customHeight="false" outlineLevel="0" collapsed="false">
      <c r="A258" s="11" t="n">
        <v>45959</v>
      </c>
      <c r="B258" s="12" t="s">
        <v>22</v>
      </c>
      <c r="C258" s="12" t="s">
        <v>29</v>
      </c>
      <c r="D258" s="12" t="s">
        <v>27</v>
      </c>
      <c r="E258" s="13" t="n">
        <v>5</v>
      </c>
      <c r="F258" s="14" t="n">
        <v>129</v>
      </c>
      <c r="G258" s="14" t="n">
        <f aca="false">E258*F258</f>
        <v>645</v>
      </c>
      <c r="H258" s="12" t="n">
        <f aca="false">MONTH(A258)</f>
        <v>10</v>
      </c>
    </row>
    <row r="259" customFormat="false" ht="15" hidden="false" customHeight="false" outlineLevel="0" collapsed="false">
      <c r="A259" s="11" t="n">
        <v>45959</v>
      </c>
      <c r="B259" s="12" t="s">
        <v>19</v>
      </c>
      <c r="C259" s="12" t="s">
        <v>25</v>
      </c>
      <c r="D259" s="12" t="s">
        <v>21</v>
      </c>
      <c r="E259" s="13" t="n">
        <v>1</v>
      </c>
      <c r="F259" s="14" t="n">
        <v>249.9</v>
      </c>
      <c r="G259" s="14" t="n">
        <f aca="false">E259*F259</f>
        <v>249.9</v>
      </c>
      <c r="H259" s="12" t="n">
        <f aca="false">MONTH(A259)</f>
        <v>10</v>
      </c>
    </row>
    <row r="260" customFormat="false" ht="15" hidden="false" customHeight="false" outlineLevel="0" collapsed="false">
      <c r="A260" s="11" t="n">
        <v>45960</v>
      </c>
      <c r="B260" s="12" t="s">
        <v>19</v>
      </c>
      <c r="C260" s="12" t="s">
        <v>25</v>
      </c>
      <c r="D260" s="12" t="s">
        <v>38</v>
      </c>
      <c r="E260" s="13" t="n">
        <v>1</v>
      </c>
      <c r="F260" s="14" t="n">
        <v>237.41</v>
      </c>
      <c r="G260" s="14" t="n">
        <f aca="false">E260*F260</f>
        <v>237.41</v>
      </c>
      <c r="H260" s="12" t="n">
        <f aca="false">MONTH(A260)</f>
        <v>10</v>
      </c>
    </row>
    <row r="261" customFormat="false" ht="15" hidden="false" customHeight="false" outlineLevel="0" collapsed="false">
      <c r="A261" s="11" t="n">
        <v>45961</v>
      </c>
      <c r="B261" s="12" t="s">
        <v>22</v>
      </c>
      <c r="C261" s="12" t="s">
        <v>33</v>
      </c>
      <c r="D261" s="12" t="s">
        <v>21</v>
      </c>
      <c r="E261" s="13" t="n">
        <v>3</v>
      </c>
      <c r="F261" s="14" t="n">
        <v>261.45</v>
      </c>
      <c r="G261" s="14" t="n">
        <f aca="false">E261*F261</f>
        <v>784.35</v>
      </c>
      <c r="H261" s="12" t="n">
        <f aca="false">MONTH(A261)</f>
        <v>10</v>
      </c>
    </row>
    <row r="262" customFormat="false" ht="15" hidden="false" customHeight="false" outlineLevel="0" collapsed="false">
      <c r="A262" s="11" t="n">
        <v>45963</v>
      </c>
      <c r="B262" s="12" t="s">
        <v>34</v>
      </c>
      <c r="C262" s="12" t="s">
        <v>35</v>
      </c>
      <c r="D262" s="12" t="s">
        <v>21</v>
      </c>
      <c r="E262" s="13" t="n">
        <v>2</v>
      </c>
      <c r="F262" s="14" t="n">
        <v>3799</v>
      </c>
      <c r="G262" s="14" t="n">
        <f aca="false">E262*F262</f>
        <v>7598</v>
      </c>
      <c r="H262" s="12" t="n">
        <f aca="false">MONTH(A262)</f>
        <v>11</v>
      </c>
    </row>
    <row r="263" customFormat="false" ht="15" hidden="false" customHeight="false" outlineLevel="0" collapsed="false">
      <c r="A263" s="11" t="n">
        <v>45963</v>
      </c>
      <c r="B263" s="12" t="s">
        <v>19</v>
      </c>
      <c r="C263" s="12" t="s">
        <v>26</v>
      </c>
      <c r="D263" s="12" t="s">
        <v>32</v>
      </c>
      <c r="E263" s="13" t="n">
        <v>1</v>
      </c>
      <c r="F263" s="14" t="n">
        <v>279.9</v>
      </c>
      <c r="G263" s="14" t="n">
        <f aca="false">E263*F263</f>
        <v>279.9</v>
      </c>
      <c r="H263" s="12" t="n">
        <f aca="false">MONTH(A263)</f>
        <v>11</v>
      </c>
    </row>
    <row r="264" customFormat="false" ht="15" hidden="false" customHeight="false" outlineLevel="0" collapsed="false">
      <c r="A264" s="11" t="n">
        <v>45965</v>
      </c>
      <c r="B264" s="12" t="s">
        <v>22</v>
      </c>
      <c r="C264" s="12" t="s">
        <v>29</v>
      </c>
      <c r="D264" s="12" t="s">
        <v>32</v>
      </c>
      <c r="E264" s="13" t="n">
        <v>1</v>
      </c>
      <c r="F264" s="14" t="n">
        <v>116.1</v>
      </c>
      <c r="G264" s="14" t="n">
        <f aca="false">E264*F264</f>
        <v>116.1</v>
      </c>
      <c r="H264" s="12" t="n">
        <f aca="false">MONTH(A264)</f>
        <v>11</v>
      </c>
    </row>
    <row r="265" customFormat="false" ht="15" hidden="false" customHeight="false" outlineLevel="0" collapsed="false">
      <c r="A265" s="11" t="n">
        <v>45967</v>
      </c>
      <c r="B265" s="12" t="s">
        <v>34</v>
      </c>
      <c r="C265" s="12" t="s">
        <v>36</v>
      </c>
      <c r="D265" s="12" t="s">
        <v>21</v>
      </c>
      <c r="E265" s="13" t="n">
        <v>1</v>
      </c>
      <c r="F265" s="14" t="n">
        <v>2199</v>
      </c>
      <c r="G265" s="14" t="n">
        <f aca="false">E265*F265</f>
        <v>2199</v>
      </c>
      <c r="H265" s="12" t="n">
        <f aca="false">MONTH(A265)</f>
        <v>11</v>
      </c>
    </row>
    <row r="266" customFormat="false" ht="15" hidden="false" customHeight="false" outlineLevel="0" collapsed="false">
      <c r="A266" s="11" t="n">
        <v>45968</v>
      </c>
      <c r="B266" s="12" t="s">
        <v>19</v>
      </c>
      <c r="C266" s="12" t="s">
        <v>20</v>
      </c>
      <c r="D266" s="12" t="s">
        <v>27</v>
      </c>
      <c r="E266" s="13" t="n">
        <v>2</v>
      </c>
      <c r="F266" s="14" t="n">
        <v>246.9</v>
      </c>
      <c r="G266" s="14" t="n">
        <f aca="false">E266*F266</f>
        <v>493.8</v>
      </c>
      <c r="H266" s="12" t="n">
        <f aca="false">MONTH(A266)</f>
        <v>11</v>
      </c>
    </row>
    <row r="267" customFormat="false" ht="15" hidden="false" customHeight="false" outlineLevel="0" collapsed="false">
      <c r="A267" s="11" t="n">
        <v>45970</v>
      </c>
      <c r="B267" s="12" t="s">
        <v>22</v>
      </c>
      <c r="C267" s="12" t="s">
        <v>39</v>
      </c>
      <c r="D267" s="12" t="s">
        <v>27</v>
      </c>
      <c r="E267" s="13" t="n">
        <v>4</v>
      </c>
      <c r="F267" s="14" t="n">
        <v>426.55</v>
      </c>
      <c r="G267" s="14" t="n">
        <f aca="false">E267*F267</f>
        <v>1706.2</v>
      </c>
      <c r="H267" s="12" t="n">
        <f aca="false">MONTH(A267)</f>
        <v>11</v>
      </c>
    </row>
    <row r="268" customFormat="false" ht="15" hidden="false" customHeight="false" outlineLevel="0" collapsed="false">
      <c r="A268" s="11" t="n">
        <v>45970</v>
      </c>
      <c r="B268" s="12" t="s">
        <v>34</v>
      </c>
      <c r="C268" s="12" t="s">
        <v>36</v>
      </c>
      <c r="D268" s="12" t="s">
        <v>38</v>
      </c>
      <c r="E268" s="13" t="n">
        <v>1</v>
      </c>
      <c r="F268" s="14" t="n">
        <v>2199</v>
      </c>
      <c r="G268" s="14" t="n">
        <f aca="false">E268*F268</f>
        <v>2199</v>
      </c>
      <c r="H268" s="12" t="n">
        <f aca="false">MONTH(A268)</f>
        <v>11</v>
      </c>
    </row>
    <row r="269" customFormat="false" ht="15" hidden="false" customHeight="false" outlineLevel="0" collapsed="false">
      <c r="A269" s="11" t="n">
        <v>45972</v>
      </c>
      <c r="B269" s="12" t="s">
        <v>34</v>
      </c>
      <c r="C269" s="12" t="s">
        <v>41</v>
      </c>
      <c r="D269" s="12" t="s">
        <v>27</v>
      </c>
      <c r="E269" s="13" t="n">
        <v>1</v>
      </c>
      <c r="F269" s="14" t="n">
        <v>1499</v>
      </c>
      <c r="G269" s="14" t="n">
        <f aca="false">E269*F269</f>
        <v>1499</v>
      </c>
      <c r="H269" s="12" t="n">
        <f aca="false">MONTH(A269)</f>
        <v>11</v>
      </c>
    </row>
    <row r="270" customFormat="false" ht="15" hidden="false" customHeight="false" outlineLevel="0" collapsed="false">
      <c r="A270" s="11" t="n">
        <v>45972</v>
      </c>
      <c r="B270" s="12" t="s">
        <v>19</v>
      </c>
      <c r="C270" s="12" t="s">
        <v>40</v>
      </c>
      <c r="D270" s="12" t="s">
        <v>27</v>
      </c>
      <c r="E270" s="13" t="n">
        <v>2</v>
      </c>
      <c r="F270" s="14" t="n">
        <v>188.9</v>
      </c>
      <c r="G270" s="14" t="n">
        <f aca="false">E270*F270</f>
        <v>377.8</v>
      </c>
      <c r="H270" s="12" t="n">
        <f aca="false">MONTH(A270)</f>
        <v>11</v>
      </c>
    </row>
    <row r="271" customFormat="false" ht="15" hidden="false" customHeight="false" outlineLevel="0" collapsed="false">
      <c r="A271" s="11" t="n">
        <v>45972</v>
      </c>
      <c r="B271" s="12" t="s">
        <v>19</v>
      </c>
      <c r="C271" s="12" t="s">
        <v>40</v>
      </c>
      <c r="D271" s="12" t="s">
        <v>21</v>
      </c>
      <c r="E271" s="13" t="n">
        <v>2</v>
      </c>
      <c r="F271" s="14" t="n">
        <v>170.91</v>
      </c>
      <c r="G271" s="14" t="n">
        <f aca="false">E271*F271</f>
        <v>341.82</v>
      </c>
      <c r="H271" s="12" t="n">
        <f aca="false">MONTH(A271)</f>
        <v>11</v>
      </c>
    </row>
    <row r="272" customFormat="false" ht="15" hidden="false" customHeight="false" outlineLevel="0" collapsed="false">
      <c r="A272" s="11" t="n">
        <v>45975</v>
      </c>
      <c r="B272" s="12" t="s">
        <v>22</v>
      </c>
      <c r="C272" s="12" t="s">
        <v>30</v>
      </c>
      <c r="D272" s="12" t="s">
        <v>38</v>
      </c>
      <c r="E272" s="13" t="n">
        <v>1</v>
      </c>
      <c r="F272" s="14" t="n">
        <v>134.91</v>
      </c>
      <c r="G272" s="14" t="n">
        <f aca="false">E272*F272</f>
        <v>134.91</v>
      </c>
      <c r="H272" s="12" t="n">
        <f aca="false">MONTH(A272)</f>
        <v>11</v>
      </c>
    </row>
    <row r="273" customFormat="false" ht="15" hidden="false" customHeight="false" outlineLevel="0" collapsed="false">
      <c r="A273" s="11" t="n">
        <v>45976</v>
      </c>
      <c r="B273" s="12" t="s">
        <v>19</v>
      </c>
      <c r="C273" s="12" t="s">
        <v>40</v>
      </c>
      <c r="D273" s="12" t="s">
        <v>27</v>
      </c>
      <c r="E273" s="13" t="n">
        <v>2</v>
      </c>
      <c r="F273" s="14" t="n">
        <v>179.9</v>
      </c>
      <c r="G273" s="14" t="n">
        <f aca="false">E273*F273</f>
        <v>359.8</v>
      </c>
      <c r="H273" s="12" t="n">
        <f aca="false">MONTH(A273)</f>
        <v>11</v>
      </c>
    </row>
    <row r="274" customFormat="false" ht="15" hidden="false" customHeight="false" outlineLevel="0" collapsed="false">
      <c r="A274" s="11" t="n">
        <v>45976</v>
      </c>
      <c r="B274" s="12" t="s">
        <v>22</v>
      </c>
      <c r="C274" s="12" t="s">
        <v>30</v>
      </c>
      <c r="D274" s="12" t="s">
        <v>32</v>
      </c>
      <c r="E274" s="13" t="n">
        <v>1</v>
      </c>
      <c r="F274" s="14" t="n">
        <v>142.41</v>
      </c>
      <c r="G274" s="14" t="n">
        <f aca="false">E274*F274</f>
        <v>142.41</v>
      </c>
      <c r="H274" s="12" t="n">
        <f aca="false">MONTH(A274)</f>
        <v>11</v>
      </c>
    </row>
    <row r="275" customFormat="false" ht="15" hidden="false" customHeight="false" outlineLevel="0" collapsed="false">
      <c r="A275" s="11" t="n">
        <v>45976</v>
      </c>
      <c r="B275" s="12" t="s">
        <v>19</v>
      </c>
      <c r="C275" s="12" t="s">
        <v>37</v>
      </c>
      <c r="D275" s="12" t="s">
        <v>27</v>
      </c>
      <c r="E275" s="13" t="n">
        <v>2</v>
      </c>
      <c r="F275" s="14" t="n">
        <v>209.9</v>
      </c>
      <c r="G275" s="14" t="n">
        <f aca="false">E275*F275</f>
        <v>419.8</v>
      </c>
      <c r="H275" s="12" t="n">
        <f aca="false">MONTH(A275)</f>
        <v>11</v>
      </c>
    </row>
    <row r="276" customFormat="false" ht="15" hidden="false" customHeight="false" outlineLevel="0" collapsed="false">
      <c r="A276" s="11" t="n">
        <v>45977</v>
      </c>
      <c r="B276" s="12" t="s">
        <v>19</v>
      </c>
      <c r="C276" s="12" t="s">
        <v>25</v>
      </c>
      <c r="D276" s="12" t="s">
        <v>32</v>
      </c>
      <c r="E276" s="13" t="n">
        <v>1</v>
      </c>
      <c r="F276" s="14" t="n">
        <v>249.9</v>
      </c>
      <c r="G276" s="14" t="n">
        <f aca="false">E276*F276</f>
        <v>249.9</v>
      </c>
      <c r="H276" s="12" t="n">
        <f aca="false">MONTH(A276)</f>
        <v>11</v>
      </c>
    </row>
    <row r="277" customFormat="false" ht="15" hidden="false" customHeight="false" outlineLevel="0" collapsed="false">
      <c r="A277" s="11" t="n">
        <v>45978</v>
      </c>
      <c r="B277" s="12" t="s">
        <v>34</v>
      </c>
      <c r="C277" s="12" t="s">
        <v>41</v>
      </c>
      <c r="D277" s="12" t="s">
        <v>21</v>
      </c>
      <c r="E277" s="13" t="n">
        <v>1</v>
      </c>
      <c r="F277" s="14" t="n">
        <v>1424.05</v>
      </c>
      <c r="G277" s="14" t="n">
        <f aca="false">E277*F277</f>
        <v>1424.05</v>
      </c>
      <c r="H277" s="12" t="n">
        <f aca="false">MONTH(A277)</f>
        <v>11</v>
      </c>
    </row>
    <row r="278" customFormat="false" ht="15" hidden="false" customHeight="false" outlineLevel="0" collapsed="false">
      <c r="A278" s="11" t="n">
        <v>45979</v>
      </c>
      <c r="B278" s="12" t="s">
        <v>19</v>
      </c>
      <c r="C278" s="12" t="s">
        <v>20</v>
      </c>
      <c r="D278" s="12" t="s">
        <v>21</v>
      </c>
      <c r="E278" s="13" t="n">
        <v>1</v>
      </c>
      <c r="F278" s="14" t="n">
        <v>259.9</v>
      </c>
      <c r="G278" s="14" t="n">
        <f aca="false">E278*F278</f>
        <v>259.9</v>
      </c>
      <c r="H278" s="12" t="n">
        <f aca="false">MONTH(A278)</f>
        <v>11</v>
      </c>
    </row>
    <row r="279" customFormat="false" ht="15" hidden="false" customHeight="false" outlineLevel="0" collapsed="false">
      <c r="A279" s="11" t="n">
        <v>45980</v>
      </c>
      <c r="B279" s="12" t="s">
        <v>19</v>
      </c>
      <c r="C279" s="12" t="s">
        <v>26</v>
      </c>
      <c r="D279" s="12" t="s">
        <v>32</v>
      </c>
      <c r="E279" s="13" t="n">
        <v>1</v>
      </c>
      <c r="F279" s="14" t="n">
        <v>279.9</v>
      </c>
      <c r="G279" s="14" t="n">
        <f aca="false">E279*F279</f>
        <v>279.9</v>
      </c>
      <c r="H279" s="12" t="n">
        <f aca="false">MONTH(A279)</f>
        <v>11</v>
      </c>
    </row>
    <row r="280" customFormat="false" ht="15" hidden="false" customHeight="false" outlineLevel="0" collapsed="false">
      <c r="A280" s="11" t="n">
        <v>45981</v>
      </c>
      <c r="B280" s="12" t="s">
        <v>34</v>
      </c>
      <c r="C280" s="12" t="s">
        <v>35</v>
      </c>
      <c r="D280" s="12" t="s">
        <v>38</v>
      </c>
      <c r="E280" s="13" t="n">
        <v>2</v>
      </c>
      <c r="F280" s="14" t="n">
        <v>3799</v>
      </c>
      <c r="G280" s="14" t="n">
        <f aca="false">E280*F280</f>
        <v>7598</v>
      </c>
      <c r="H280" s="12" t="n">
        <f aca="false">MONTH(A280)</f>
        <v>11</v>
      </c>
    </row>
    <row r="281" customFormat="false" ht="15" hidden="false" customHeight="false" outlineLevel="0" collapsed="false">
      <c r="A281" s="11" t="n">
        <v>45982</v>
      </c>
      <c r="B281" s="12" t="s">
        <v>19</v>
      </c>
      <c r="C281" s="12" t="s">
        <v>25</v>
      </c>
      <c r="D281" s="12" t="s">
        <v>32</v>
      </c>
      <c r="E281" s="13" t="n">
        <v>3</v>
      </c>
      <c r="F281" s="14" t="n">
        <v>262.4</v>
      </c>
      <c r="G281" s="14" t="n">
        <f aca="false">E281*F281</f>
        <v>787.2</v>
      </c>
      <c r="H281" s="12" t="n">
        <f aca="false">MONTH(A281)</f>
        <v>11</v>
      </c>
    </row>
    <row r="282" customFormat="false" ht="15" hidden="false" customHeight="false" outlineLevel="0" collapsed="false">
      <c r="A282" s="11" t="n">
        <v>45982</v>
      </c>
      <c r="B282" s="12" t="s">
        <v>22</v>
      </c>
      <c r="C282" s="12" t="s">
        <v>39</v>
      </c>
      <c r="D282" s="12" t="s">
        <v>32</v>
      </c>
      <c r="E282" s="13" t="n">
        <v>1</v>
      </c>
      <c r="F282" s="14" t="n">
        <v>404.1</v>
      </c>
      <c r="G282" s="14" t="n">
        <f aca="false">E282*F282</f>
        <v>404.1</v>
      </c>
      <c r="H282" s="12" t="n">
        <f aca="false">MONTH(A282)</f>
        <v>11</v>
      </c>
    </row>
    <row r="283" customFormat="false" ht="15" hidden="false" customHeight="false" outlineLevel="0" collapsed="false">
      <c r="A283" s="11" t="n">
        <v>45984</v>
      </c>
      <c r="B283" s="12" t="s">
        <v>22</v>
      </c>
      <c r="C283" s="12" t="s">
        <v>30</v>
      </c>
      <c r="D283" s="12" t="s">
        <v>21</v>
      </c>
      <c r="E283" s="13" t="n">
        <v>1</v>
      </c>
      <c r="F283" s="14" t="n">
        <v>149.9</v>
      </c>
      <c r="G283" s="14" t="n">
        <f aca="false">E283*F283</f>
        <v>149.9</v>
      </c>
      <c r="H283" s="12" t="n">
        <f aca="false">MONTH(A283)</f>
        <v>11</v>
      </c>
    </row>
    <row r="284" customFormat="false" ht="15" hidden="false" customHeight="false" outlineLevel="0" collapsed="false">
      <c r="A284" s="11" t="n">
        <v>45984</v>
      </c>
      <c r="B284" s="12" t="s">
        <v>19</v>
      </c>
      <c r="C284" s="12" t="s">
        <v>31</v>
      </c>
      <c r="D284" s="12" t="s">
        <v>32</v>
      </c>
      <c r="E284" s="13" t="n">
        <v>4</v>
      </c>
      <c r="F284" s="14" t="n">
        <v>314.91</v>
      </c>
      <c r="G284" s="14" t="n">
        <f aca="false">E284*F284</f>
        <v>1259.64</v>
      </c>
      <c r="H284" s="12" t="n">
        <f aca="false">MONTH(A284)</f>
        <v>11</v>
      </c>
    </row>
    <row r="285" customFormat="false" ht="15" hidden="false" customHeight="false" outlineLevel="0" collapsed="false">
      <c r="A285" s="11" t="n">
        <v>45984</v>
      </c>
      <c r="B285" s="12" t="s">
        <v>34</v>
      </c>
      <c r="C285" s="12" t="s">
        <v>36</v>
      </c>
      <c r="D285" s="12" t="s">
        <v>27</v>
      </c>
      <c r="E285" s="13" t="n">
        <v>1</v>
      </c>
      <c r="F285" s="14" t="n">
        <v>2199</v>
      </c>
      <c r="G285" s="14" t="n">
        <f aca="false">E285*F285</f>
        <v>2199</v>
      </c>
      <c r="H285" s="12" t="n">
        <f aca="false">MONTH(A285)</f>
        <v>11</v>
      </c>
    </row>
    <row r="286" customFormat="false" ht="15" hidden="false" customHeight="false" outlineLevel="0" collapsed="false">
      <c r="A286" s="11" t="n">
        <v>45985</v>
      </c>
      <c r="B286" s="12" t="s">
        <v>34</v>
      </c>
      <c r="C286" s="12" t="s">
        <v>41</v>
      </c>
      <c r="D286" s="12" t="s">
        <v>21</v>
      </c>
      <c r="E286" s="13" t="n">
        <v>1</v>
      </c>
      <c r="F286" s="14" t="n">
        <v>1573.95</v>
      </c>
      <c r="G286" s="14" t="n">
        <f aca="false">E286*F286</f>
        <v>1573.95</v>
      </c>
      <c r="H286" s="12" t="n">
        <f aca="false">MONTH(A286)</f>
        <v>11</v>
      </c>
    </row>
    <row r="287" customFormat="false" ht="15" hidden="false" customHeight="false" outlineLevel="0" collapsed="false">
      <c r="A287" s="11" t="n">
        <v>45986</v>
      </c>
      <c r="B287" s="12" t="s">
        <v>22</v>
      </c>
      <c r="C287" s="12" t="s">
        <v>30</v>
      </c>
      <c r="D287" s="12" t="s">
        <v>21</v>
      </c>
      <c r="E287" s="13" t="n">
        <v>3</v>
      </c>
      <c r="F287" s="14" t="n">
        <v>134.91</v>
      </c>
      <c r="G287" s="14" t="n">
        <f aca="false">E287*F287</f>
        <v>404.73</v>
      </c>
      <c r="H287" s="12" t="n">
        <f aca="false">MONTH(A287)</f>
        <v>11</v>
      </c>
    </row>
    <row r="288" customFormat="false" ht="15" hidden="false" customHeight="false" outlineLevel="0" collapsed="false">
      <c r="A288" s="11" t="n">
        <v>45987</v>
      </c>
      <c r="B288" s="12" t="s">
        <v>19</v>
      </c>
      <c r="C288" s="12" t="s">
        <v>20</v>
      </c>
      <c r="D288" s="12" t="s">
        <v>21</v>
      </c>
      <c r="E288" s="13" t="n">
        <v>1</v>
      </c>
      <c r="F288" s="14" t="n">
        <v>259.9</v>
      </c>
      <c r="G288" s="14" t="n">
        <f aca="false">E288*F288</f>
        <v>259.9</v>
      </c>
      <c r="H288" s="12" t="n">
        <f aca="false">MONTH(A288)</f>
        <v>11</v>
      </c>
    </row>
    <row r="289" customFormat="false" ht="15" hidden="false" customHeight="false" outlineLevel="0" collapsed="false">
      <c r="A289" s="11" t="n">
        <v>45987</v>
      </c>
      <c r="B289" s="12" t="s">
        <v>34</v>
      </c>
      <c r="C289" s="12" t="s">
        <v>41</v>
      </c>
      <c r="D289" s="12" t="s">
        <v>27</v>
      </c>
      <c r="E289" s="13" t="n">
        <v>1</v>
      </c>
      <c r="F289" s="14" t="n">
        <v>1573.95</v>
      </c>
      <c r="G289" s="14" t="n">
        <f aca="false">E289*F289</f>
        <v>1573.95</v>
      </c>
      <c r="H289" s="12" t="n">
        <f aca="false">MONTH(A289)</f>
        <v>11</v>
      </c>
    </row>
    <row r="290" customFormat="false" ht="15" hidden="false" customHeight="false" outlineLevel="0" collapsed="false">
      <c r="A290" s="11" t="n">
        <v>45990</v>
      </c>
      <c r="B290" s="12" t="s">
        <v>22</v>
      </c>
      <c r="C290" s="12" t="s">
        <v>30</v>
      </c>
      <c r="D290" s="12" t="s">
        <v>21</v>
      </c>
      <c r="E290" s="13" t="n">
        <v>2</v>
      </c>
      <c r="F290" s="14" t="n">
        <v>149.9</v>
      </c>
      <c r="G290" s="14" t="n">
        <f aca="false">E290*F290</f>
        <v>299.8</v>
      </c>
      <c r="H290" s="12" t="n">
        <f aca="false">MONTH(A290)</f>
        <v>11</v>
      </c>
    </row>
    <row r="291" customFormat="false" ht="15" hidden="false" customHeight="false" outlineLevel="0" collapsed="false">
      <c r="A291" s="11" t="n">
        <v>45990</v>
      </c>
      <c r="B291" s="12" t="s">
        <v>19</v>
      </c>
      <c r="C291" s="12" t="s">
        <v>20</v>
      </c>
      <c r="D291" s="12" t="s">
        <v>21</v>
      </c>
      <c r="E291" s="13" t="n">
        <v>1</v>
      </c>
      <c r="F291" s="14" t="n">
        <v>259.9</v>
      </c>
      <c r="G291" s="14" t="n">
        <f aca="false">E291*F291</f>
        <v>259.9</v>
      </c>
      <c r="H291" s="12" t="n">
        <f aca="false">MONTH(A291)</f>
        <v>11</v>
      </c>
    </row>
    <row r="292" customFormat="false" ht="15" hidden="false" customHeight="false" outlineLevel="0" collapsed="false">
      <c r="A292" s="11" t="n">
        <v>45990</v>
      </c>
      <c r="B292" s="12" t="s">
        <v>19</v>
      </c>
      <c r="C292" s="12" t="s">
        <v>28</v>
      </c>
      <c r="D292" s="12" t="s">
        <v>21</v>
      </c>
      <c r="E292" s="13" t="n">
        <v>1</v>
      </c>
      <c r="F292" s="14" t="n">
        <v>269.91</v>
      </c>
      <c r="G292" s="14" t="n">
        <f aca="false">E292*F292</f>
        <v>269.91</v>
      </c>
      <c r="H292" s="12" t="n">
        <f aca="false">MONTH(A292)</f>
        <v>11</v>
      </c>
    </row>
    <row r="293" customFormat="false" ht="15" hidden="false" customHeight="false" outlineLevel="0" collapsed="false">
      <c r="A293" s="11" t="n">
        <v>45990</v>
      </c>
      <c r="B293" s="12" t="s">
        <v>19</v>
      </c>
      <c r="C293" s="12" t="s">
        <v>25</v>
      </c>
      <c r="D293" s="12" t="s">
        <v>21</v>
      </c>
      <c r="E293" s="13" t="n">
        <v>1</v>
      </c>
      <c r="F293" s="14" t="n">
        <v>237.41</v>
      </c>
      <c r="G293" s="14" t="n">
        <f aca="false">E293*F293</f>
        <v>237.41</v>
      </c>
      <c r="H293" s="12" t="n">
        <f aca="false">MONTH(A293)</f>
        <v>11</v>
      </c>
    </row>
    <row r="294" customFormat="false" ht="15" hidden="false" customHeight="false" outlineLevel="0" collapsed="false">
      <c r="A294" s="11" t="n">
        <v>45991</v>
      </c>
      <c r="B294" s="12" t="s">
        <v>22</v>
      </c>
      <c r="C294" s="12" t="s">
        <v>29</v>
      </c>
      <c r="D294" s="12" t="s">
        <v>32</v>
      </c>
      <c r="E294" s="13" t="n">
        <v>1</v>
      </c>
      <c r="F294" s="14" t="n">
        <v>116.1</v>
      </c>
      <c r="G294" s="14" t="n">
        <f aca="false">E294*F294</f>
        <v>116.1</v>
      </c>
      <c r="H294" s="12" t="n">
        <f aca="false">MONTH(A294)</f>
        <v>11</v>
      </c>
    </row>
    <row r="295" customFormat="false" ht="15" hidden="false" customHeight="false" outlineLevel="0" collapsed="false">
      <c r="A295" s="11" t="n">
        <v>45993</v>
      </c>
      <c r="B295" s="12" t="s">
        <v>34</v>
      </c>
      <c r="C295" s="12" t="s">
        <v>36</v>
      </c>
      <c r="D295" s="12" t="s">
        <v>27</v>
      </c>
      <c r="E295" s="13" t="n">
        <v>2</v>
      </c>
      <c r="F295" s="14" t="n">
        <v>2199</v>
      </c>
      <c r="G295" s="14" t="n">
        <f aca="false">E295*F295</f>
        <v>4398</v>
      </c>
      <c r="H295" s="12" t="n">
        <f aca="false">MONTH(A295)</f>
        <v>12</v>
      </c>
    </row>
    <row r="296" customFormat="false" ht="15" hidden="false" customHeight="false" outlineLevel="0" collapsed="false">
      <c r="A296" s="11" t="n">
        <v>45993</v>
      </c>
      <c r="B296" s="12" t="s">
        <v>34</v>
      </c>
      <c r="C296" s="12" t="s">
        <v>41</v>
      </c>
      <c r="D296" s="12" t="s">
        <v>27</v>
      </c>
      <c r="E296" s="13" t="n">
        <v>2</v>
      </c>
      <c r="F296" s="14" t="n">
        <v>1424.05</v>
      </c>
      <c r="G296" s="14" t="n">
        <f aca="false">E296*F296</f>
        <v>2848.1</v>
      </c>
      <c r="H296" s="12" t="n">
        <f aca="false">MONTH(A296)</f>
        <v>12</v>
      </c>
    </row>
    <row r="297" customFormat="false" ht="15" hidden="false" customHeight="false" outlineLevel="0" collapsed="false">
      <c r="A297" s="11" t="n">
        <v>45994</v>
      </c>
      <c r="B297" s="12" t="s">
        <v>19</v>
      </c>
      <c r="C297" s="12" t="s">
        <v>42</v>
      </c>
      <c r="D297" s="12" t="s">
        <v>21</v>
      </c>
      <c r="E297" s="13" t="n">
        <v>1</v>
      </c>
      <c r="F297" s="14" t="n">
        <v>149.9</v>
      </c>
      <c r="G297" s="14" t="n">
        <f aca="false">E297*F297</f>
        <v>149.9</v>
      </c>
      <c r="H297" s="12" t="n">
        <f aca="false">MONTH(A297)</f>
        <v>12</v>
      </c>
    </row>
    <row r="298" customFormat="false" ht="15" hidden="false" customHeight="false" outlineLevel="0" collapsed="false">
      <c r="A298" s="11" t="n">
        <v>45995</v>
      </c>
      <c r="B298" s="12" t="s">
        <v>19</v>
      </c>
      <c r="C298" s="12" t="s">
        <v>40</v>
      </c>
      <c r="D298" s="12" t="s">
        <v>21</v>
      </c>
      <c r="E298" s="13" t="n">
        <v>4</v>
      </c>
      <c r="F298" s="14" t="n">
        <v>179.9</v>
      </c>
      <c r="G298" s="14" t="n">
        <f aca="false">E298*F298</f>
        <v>719.6</v>
      </c>
      <c r="H298" s="12" t="n">
        <f aca="false">MONTH(A298)</f>
        <v>12</v>
      </c>
    </row>
    <row r="299" customFormat="false" ht="15" hidden="false" customHeight="false" outlineLevel="0" collapsed="false">
      <c r="A299" s="11" t="n">
        <v>45996</v>
      </c>
      <c r="B299" s="12" t="s">
        <v>19</v>
      </c>
      <c r="C299" s="12" t="s">
        <v>31</v>
      </c>
      <c r="D299" s="12" t="s">
        <v>24</v>
      </c>
      <c r="E299" s="13" t="n">
        <v>4</v>
      </c>
      <c r="F299" s="14" t="n">
        <v>349.9</v>
      </c>
      <c r="G299" s="14" t="n">
        <f aca="false">E299*F299</f>
        <v>1399.6</v>
      </c>
      <c r="H299" s="12" t="n">
        <f aca="false">MONTH(A299)</f>
        <v>12</v>
      </c>
    </row>
    <row r="300" customFormat="false" ht="15" hidden="false" customHeight="false" outlineLevel="0" collapsed="false">
      <c r="A300" s="11" t="n">
        <v>45996</v>
      </c>
      <c r="B300" s="12" t="s">
        <v>19</v>
      </c>
      <c r="C300" s="12" t="s">
        <v>42</v>
      </c>
      <c r="D300" s="12" t="s">
        <v>21</v>
      </c>
      <c r="E300" s="13" t="n">
        <v>1</v>
      </c>
      <c r="F300" s="14" t="n">
        <v>134.91</v>
      </c>
      <c r="G300" s="14" t="n">
        <f aca="false">E300*F300</f>
        <v>134.91</v>
      </c>
      <c r="H300" s="12" t="n">
        <f aca="false">MONTH(A300)</f>
        <v>12</v>
      </c>
    </row>
    <row r="301" customFormat="false" ht="15" hidden="false" customHeight="false" outlineLevel="0" collapsed="false">
      <c r="A301" s="11" t="n">
        <v>45999</v>
      </c>
      <c r="B301" s="12" t="s">
        <v>34</v>
      </c>
      <c r="C301" s="12" t="s">
        <v>41</v>
      </c>
      <c r="D301" s="12" t="s">
        <v>38</v>
      </c>
      <c r="E301" s="13" t="n">
        <v>1</v>
      </c>
      <c r="F301" s="14" t="n">
        <v>1424.05</v>
      </c>
      <c r="G301" s="14" t="n">
        <f aca="false">E301*F301</f>
        <v>1424.05</v>
      </c>
      <c r="H301" s="12" t="n">
        <f aca="false">MONTH(A301)</f>
        <v>12</v>
      </c>
    </row>
    <row r="302" customFormat="false" ht="15" hidden="false" customHeight="false" outlineLevel="0" collapsed="false">
      <c r="A302" s="11" t="n">
        <v>45999</v>
      </c>
      <c r="B302" s="12" t="s">
        <v>19</v>
      </c>
      <c r="C302" s="12" t="s">
        <v>40</v>
      </c>
      <c r="D302" s="12" t="s">
        <v>32</v>
      </c>
      <c r="E302" s="13" t="n">
        <v>2</v>
      </c>
      <c r="F302" s="14" t="n">
        <v>179.9</v>
      </c>
      <c r="G302" s="14" t="n">
        <f aca="false">E302*F302</f>
        <v>359.8</v>
      </c>
      <c r="H302" s="12" t="n">
        <f aca="false">MONTH(A302)</f>
        <v>12</v>
      </c>
    </row>
    <row r="303" customFormat="false" ht="15" hidden="false" customHeight="false" outlineLevel="0" collapsed="false">
      <c r="A303" s="11" t="n">
        <v>46000</v>
      </c>
      <c r="B303" s="12" t="s">
        <v>22</v>
      </c>
      <c r="C303" s="12" t="s">
        <v>33</v>
      </c>
      <c r="D303" s="12" t="s">
        <v>21</v>
      </c>
      <c r="E303" s="13" t="n">
        <v>3</v>
      </c>
      <c r="F303" s="14" t="n">
        <v>249</v>
      </c>
      <c r="G303" s="14" t="n">
        <f aca="false">E303*F303</f>
        <v>747</v>
      </c>
      <c r="H303" s="12" t="n">
        <f aca="false">MONTH(A303)</f>
        <v>12</v>
      </c>
    </row>
    <row r="304" customFormat="false" ht="15" hidden="false" customHeight="false" outlineLevel="0" collapsed="false">
      <c r="A304" s="11" t="n">
        <v>46000</v>
      </c>
      <c r="B304" s="12" t="s">
        <v>22</v>
      </c>
      <c r="C304" s="12" t="s">
        <v>30</v>
      </c>
      <c r="D304" s="12" t="s">
        <v>32</v>
      </c>
      <c r="E304" s="13" t="n">
        <v>3</v>
      </c>
      <c r="F304" s="14" t="n">
        <v>149.9</v>
      </c>
      <c r="G304" s="14" t="n">
        <f aca="false">E304*F304</f>
        <v>449.7</v>
      </c>
      <c r="H304" s="12" t="n">
        <f aca="false">MONTH(A304)</f>
        <v>12</v>
      </c>
    </row>
    <row r="305" customFormat="false" ht="15" hidden="false" customHeight="false" outlineLevel="0" collapsed="false">
      <c r="A305" s="11" t="n">
        <v>46001</v>
      </c>
      <c r="B305" s="12" t="s">
        <v>34</v>
      </c>
      <c r="C305" s="12" t="s">
        <v>36</v>
      </c>
      <c r="D305" s="12" t="s">
        <v>21</v>
      </c>
      <c r="E305" s="13" t="n">
        <v>1</v>
      </c>
      <c r="F305" s="14" t="n">
        <v>2199</v>
      </c>
      <c r="G305" s="14" t="n">
        <f aca="false">E305*F305</f>
        <v>2199</v>
      </c>
      <c r="H305" s="12" t="n">
        <f aca="false">MONTH(A305)</f>
        <v>12</v>
      </c>
    </row>
    <row r="306" customFormat="false" ht="15" hidden="false" customHeight="false" outlineLevel="0" collapsed="false">
      <c r="A306" s="11" t="n">
        <v>46002</v>
      </c>
      <c r="B306" s="12" t="s">
        <v>19</v>
      </c>
      <c r="C306" s="12" t="s">
        <v>25</v>
      </c>
      <c r="D306" s="12" t="s">
        <v>21</v>
      </c>
      <c r="E306" s="13" t="n">
        <v>3</v>
      </c>
      <c r="F306" s="14" t="n">
        <v>249.9</v>
      </c>
      <c r="G306" s="14" t="n">
        <f aca="false">E306*F306</f>
        <v>749.7</v>
      </c>
      <c r="H306" s="12" t="n">
        <f aca="false">MONTH(A306)</f>
        <v>12</v>
      </c>
    </row>
    <row r="307" customFormat="false" ht="15" hidden="false" customHeight="false" outlineLevel="0" collapsed="false">
      <c r="A307" s="11" t="n">
        <v>46003</v>
      </c>
      <c r="B307" s="12" t="s">
        <v>34</v>
      </c>
      <c r="C307" s="12" t="s">
        <v>36</v>
      </c>
      <c r="D307" s="12" t="s">
        <v>32</v>
      </c>
      <c r="E307" s="13" t="n">
        <v>1</v>
      </c>
      <c r="F307" s="14" t="n">
        <v>1979.1</v>
      </c>
      <c r="G307" s="14" t="n">
        <f aca="false">E307*F307</f>
        <v>1979.1</v>
      </c>
      <c r="H307" s="12" t="n">
        <f aca="false">MONTH(A307)</f>
        <v>12</v>
      </c>
    </row>
    <row r="308" customFormat="false" ht="15" hidden="false" customHeight="false" outlineLevel="0" collapsed="false">
      <c r="A308" s="11" t="n">
        <v>46005</v>
      </c>
      <c r="B308" s="12" t="s">
        <v>19</v>
      </c>
      <c r="C308" s="12" t="s">
        <v>31</v>
      </c>
      <c r="D308" s="12" t="s">
        <v>21</v>
      </c>
      <c r="E308" s="13" t="n">
        <v>1</v>
      </c>
      <c r="F308" s="14" t="n">
        <v>332.4</v>
      </c>
      <c r="G308" s="14" t="n">
        <f aca="false">E308*F308</f>
        <v>332.4</v>
      </c>
      <c r="H308" s="12" t="n">
        <f aca="false">MONTH(A308)</f>
        <v>12</v>
      </c>
    </row>
    <row r="309" customFormat="false" ht="15" hidden="false" customHeight="false" outlineLevel="0" collapsed="false">
      <c r="A309" s="11" t="n">
        <v>46005</v>
      </c>
      <c r="B309" s="12" t="s">
        <v>19</v>
      </c>
      <c r="C309" s="12" t="s">
        <v>42</v>
      </c>
      <c r="D309" s="12" t="s">
        <v>21</v>
      </c>
      <c r="E309" s="13" t="n">
        <v>1</v>
      </c>
      <c r="F309" s="14" t="n">
        <v>157.4</v>
      </c>
      <c r="G309" s="14" t="n">
        <f aca="false">E309*F309</f>
        <v>157.4</v>
      </c>
      <c r="H309" s="12" t="n">
        <f aca="false">MONTH(A309)</f>
        <v>12</v>
      </c>
    </row>
    <row r="310" customFormat="false" ht="15" hidden="false" customHeight="false" outlineLevel="0" collapsed="false">
      <c r="A310" s="11" t="n">
        <v>46005</v>
      </c>
      <c r="B310" s="12" t="s">
        <v>34</v>
      </c>
      <c r="C310" s="12" t="s">
        <v>35</v>
      </c>
      <c r="D310" s="12" t="s">
        <v>21</v>
      </c>
      <c r="E310" s="13" t="n">
        <v>1</v>
      </c>
      <c r="F310" s="14" t="n">
        <v>3419.1</v>
      </c>
      <c r="G310" s="14" t="n">
        <f aca="false">E310*F310</f>
        <v>3419.1</v>
      </c>
      <c r="H310" s="12" t="n">
        <f aca="false">MONTH(A310)</f>
        <v>12</v>
      </c>
    </row>
    <row r="311" customFormat="false" ht="15" hidden="false" customHeight="false" outlineLevel="0" collapsed="false">
      <c r="A311" s="11" t="n">
        <v>46006</v>
      </c>
      <c r="B311" s="12" t="s">
        <v>19</v>
      </c>
      <c r="C311" s="12" t="s">
        <v>25</v>
      </c>
      <c r="D311" s="12" t="s">
        <v>21</v>
      </c>
      <c r="E311" s="13" t="n">
        <v>2</v>
      </c>
      <c r="F311" s="14" t="n">
        <v>224.91</v>
      </c>
      <c r="G311" s="14" t="n">
        <f aca="false">E311*F311</f>
        <v>449.82</v>
      </c>
      <c r="H311" s="12" t="n">
        <f aca="false">MONTH(A311)</f>
        <v>12</v>
      </c>
    </row>
    <row r="312" customFormat="false" ht="15" hidden="false" customHeight="false" outlineLevel="0" collapsed="false">
      <c r="A312" s="11" t="n">
        <v>46006</v>
      </c>
      <c r="B312" s="12" t="s">
        <v>22</v>
      </c>
      <c r="C312" s="12" t="s">
        <v>39</v>
      </c>
      <c r="D312" s="12" t="s">
        <v>38</v>
      </c>
      <c r="E312" s="13" t="n">
        <v>2</v>
      </c>
      <c r="F312" s="14" t="n">
        <v>449</v>
      </c>
      <c r="G312" s="14" t="n">
        <f aca="false">E312*F312</f>
        <v>898</v>
      </c>
      <c r="H312" s="12" t="n">
        <f aca="false">MONTH(A312)</f>
        <v>12</v>
      </c>
    </row>
    <row r="313" customFormat="false" ht="15" hidden="false" customHeight="false" outlineLevel="0" collapsed="false">
      <c r="A313" s="11" t="n">
        <v>46008</v>
      </c>
      <c r="B313" s="12" t="s">
        <v>22</v>
      </c>
      <c r="C313" s="12" t="s">
        <v>39</v>
      </c>
      <c r="D313" s="12" t="s">
        <v>32</v>
      </c>
      <c r="E313" s="13" t="n">
        <v>1</v>
      </c>
      <c r="F313" s="14" t="n">
        <v>449</v>
      </c>
      <c r="G313" s="14" t="n">
        <f aca="false">E313*F313</f>
        <v>449</v>
      </c>
      <c r="H313" s="12" t="n">
        <f aca="false">MONTH(A313)</f>
        <v>12</v>
      </c>
    </row>
    <row r="314" customFormat="false" ht="15" hidden="false" customHeight="false" outlineLevel="0" collapsed="false">
      <c r="A314" s="11" t="n">
        <v>46010</v>
      </c>
      <c r="B314" s="12" t="s">
        <v>34</v>
      </c>
      <c r="C314" s="12" t="s">
        <v>35</v>
      </c>
      <c r="D314" s="12" t="s">
        <v>32</v>
      </c>
      <c r="E314" s="13" t="n">
        <v>1</v>
      </c>
      <c r="F314" s="14" t="n">
        <v>3988.95</v>
      </c>
      <c r="G314" s="14" t="n">
        <f aca="false">E314*F314</f>
        <v>3988.95</v>
      </c>
      <c r="H314" s="12" t="n">
        <f aca="false">MONTH(A314)</f>
        <v>12</v>
      </c>
    </row>
    <row r="315" customFormat="false" ht="15" hidden="false" customHeight="false" outlineLevel="0" collapsed="false">
      <c r="A315" s="11" t="n">
        <v>46011</v>
      </c>
      <c r="B315" s="12" t="s">
        <v>22</v>
      </c>
      <c r="C315" s="12" t="s">
        <v>39</v>
      </c>
      <c r="D315" s="12" t="s">
        <v>27</v>
      </c>
      <c r="E315" s="13" t="n">
        <v>1</v>
      </c>
      <c r="F315" s="14" t="n">
        <v>404.1</v>
      </c>
      <c r="G315" s="14" t="n">
        <f aca="false">E315*F315</f>
        <v>404.1</v>
      </c>
      <c r="H315" s="12" t="n">
        <f aca="false">MONTH(A315)</f>
        <v>12</v>
      </c>
    </row>
    <row r="316" customFormat="false" ht="15" hidden="false" customHeight="false" outlineLevel="0" collapsed="false">
      <c r="A316" s="11" t="n">
        <v>46014</v>
      </c>
      <c r="B316" s="12" t="s">
        <v>22</v>
      </c>
      <c r="C316" s="12" t="s">
        <v>30</v>
      </c>
      <c r="D316" s="12" t="s">
        <v>27</v>
      </c>
      <c r="E316" s="13" t="n">
        <v>1</v>
      </c>
      <c r="F316" s="14" t="n">
        <v>149.9</v>
      </c>
      <c r="G316" s="14" t="n">
        <f aca="false">E316*F316</f>
        <v>149.9</v>
      </c>
      <c r="H316" s="12" t="n">
        <f aca="false">MONTH(A316)</f>
        <v>12</v>
      </c>
    </row>
    <row r="317" customFormat="false" ht="15" hidden="false" customHeight="false" outlineLevel="0" collapsed="false">
      <c r="A317" s="11" t="n">
        <v>46016</v>
      </c>
      <c r="B317" s="12" t="s">
        <v>19</v>
      </c>
      <c r="C317" s="12" t="s">
        <v>40</v>
      </c>
      <c r="D317" s="12" t="s">
        <v>21</v>
      </c>
      <c r="E317" s="13" t="n">
        <v>1</v>
      </c>
      <c r="F317" s="14" t="n">
        <v>179.9</v>
      </c>
      <c r="G317" s="14" t="n">
        <f aca="false">E317*F317</f>
        <v>179.9</v>
      </c>
      <c r="H317" s="12" t="n">
        <f aca="false">MONTH(A317)</f>
        <v>12</v>
      </c>
    </row>
    <row r="318" customFormat="false" ht="15" hidden="false" customHeight="false" outlineLevel="0" collapsed="false">
      <c r="A318" s="11" t="n">
        <v>46018</v>
      </c>
      <c r="B318" s="12" t="s">
        <v>22</v>
      </c>
      <c r="C318" s="12" t="s">
        <v>30</v>
      </c>
      <c r="D318" s="12" t="s">
        <v>21</v>
      </c>
      <c r="E318" s="13" t="n">
        <v>1</v>
      </c>
      <c r="F318" s="14" t="n">
        <v>149.9</v>
      </c>
      <c r="G318" s="14" t="n">
        <f aca="false">E318*F318</f>
        <v>149.9</v>
      </c>
      <c r="H318" s="12" t="n">
        <f aca="false">MONTH(A318)</f>
        <v>12</v>
      </c>
    </row>
    <row r="319" customFormat="false" ht="15" hidden="false" customHeight="false" outlineLevel="0" collapsed="false">
      <c r="A319" s="11" t="n">
        <v>46019</v>
      </c>
      <c r="B319" s="12" t="s">
        <v>19</v>
      </c>
      <c r="C319" s="12" t="s">
        <v>20</v>
      </c>
      <c r="D319" s="12" t="s">
        <v>24</v>
      </c>
      <c r="E319" s="13" t="n">
        <v>1</v>
      </c>
      <c r="F319" s="14" t="n">
        <v>246.9</v>
      </c>
      <c r="G319" s="14" t="n">
        <f aca="false">E319*F319</f>
        <v>246.9</v>
      </c>
      <c r="H319" s="12" t="n">
        <f aca="false">MONTH(A319)</f>
        <v>12</v>
      </c>
    </row>
    <row r="320" customFormat="false" ht="15" hidden="false" customHeight="false" outlineLevel="0" collapsed="false">
      <c r="A320" s="11" t="n">
        <v>46021</v>
      </c>
      <c r="B320" s="12" t="s">
        <v>19</v>
      </c>
      <c r="C320" s="12" t="s">
        <v>31</v>
      </c>
      <c r="D320" s="12" t="s">
        <v>38</v>
      </c>
      <c r="E320" s="13" t="n">
        <v>1</v>
      </c>
      <c r="F320" s="14" t="n">
        <v>367.39</v>
      </c>
      <c r="G320" s="14" t="n">
        <f aca="false">E320*F320</f>
        <v>367.39</v>
      </c>
      <c r="H320" s="12" t="n">
        <f aca="false">MONTH(A320)</f>
        <v>12</v>
      </c>
    </row>
    <row r="321" customFormat="false" ht="15" hidden="false" customHeight="false" outlineLevel="0" collapsed="false">
      <c r="A321" s="11" t="n">
        <v>46022</v>
      </c>
      <c r="B321" s="12" t="s">
        <v>22</v>
      </c>
      <c r="C321" s="12" t="s">
        <v>39</v>
      </c>
      <c r="D321" s="12" t="s">
        <v>21</v>
      </c>
      <c r="E321" s="13" t="n">
        <v>3</v>
      </c>
      <c r="F321" s="14" t="n">
        <v>449</v>
      </c>
      <c r="G321" s="14" t="n">
        <f aca="false">E321*F321</f>
        <v>1347</v>
      </c>
      <c r="H321" s="12" t="n">
        <f aca="false">MONTH(A321)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5" t="s">
        <v>43</v>
      </c>
    </row>
    <row r="2" customFormat="false" ht="15" hidden="false" customHeight="false" outlineLevel="0" collapsed="false">
      <c r="A2" s="16" t="s">
        <v>12</v>
      </c>
      <c r="B2" s="16" t="s">
        <v>17</v>
      </c>
    </row>
    <row r="3" customFormat="false" ht="15" hidden="false" customHeight="false" outlineLevel="0" collapsed="false">
      <c r="A3" s="0" t="s">
        <v>34</v>
      </c>
      <c r="B3" s="17" t="n">
        <f aca="false">SUMIFS(Dados!$G$2:$G$321,Dados!$B$2:$B$321,A3)</f>
        <v>203014.3</v>
      </c>
    </row>
    <row r="4" customFormat="false" ht="15" hidden="false" customHeight="false" outlineLevel="0" collapsed="false">
      <c r="A4" s="0" t="s">
        <v>19</v>
      </c>
      <c r="B4" s="17" t="n">
        <f aca="false">SUMIFS(Dados!$G$2:$G$321,Dados!$B$2:$B$321,A4)</f>
        <v>76268.89</v>
      </c>
    </row>
    <row r="5" customFormat="false" ht="15" hidden="false" customHeight="false" outlineLevel="0" collapsed="false">
      <c r="A5" s="0" t="s">
        <v>22</v>
      </c>
      <c r="B5" s="17" t="n">
        <f aca="false">SUMIFS(Dados!$G$2:$G$321,Dados!$B$2:$B$321,A5)</f>
        <v>45647.74</v>
      </c>
    </row>
    <row r="7" customFormat="false" ht="15" hidden="false" customHeight="false" outlineLevel="0" collapsed="false">
      <c r="A7" s="15" t="s">
        <v>44</v>
      </c>
    </row>
    <row r="8" customFormat="false" ht="15" hidden="false" customHeight="false" outlineLevel="0" collapsed="false">
      <c r="A8" s="16" t="s">
        <v>14</v>
      </c>
      <c r="B8" s="16" t="s">
        <v>17</v>
      </c>
    </row>
    <row r="9" customFormat="false" ht="15" hidden="false" customHeight="false" outlineLevel="0" collapsed="false">
      <c r="A9" s="0" t="s">
        <v>21</v>
      </c>
      <c r="B9" s="17" t="n">
        <f aca="false">SUMIFS(Dados!$G$2:$G$321,Dados!$D$2:$D$321,A9)</f>
        <v>131186.57</v>
      </c>
    </row>
    <row r="10" customFormat="false" ht="15" hidden="false" customHeight="false" outlineLevel="0" collapsed="false">
      <c r="A10" s="0" t="s">
        <v>27</v>
      </c>
      <c r="B10" s="17" t="n">
        <f aca="false">SUMIFS(Dados!$G$2:$G$321,Dados!$D$2:$D$321,A10)</f>
        <v>76075.71</v>
      </c>
    </row>
    <row r="11" customFormat="false" ht="15" hidden="false" customHeight="false" outlineLevel="0" collapsed="false">
      <c r="A11" s="0" t="s">
        <v>32</v>
      </c>
      <c r="B11" s="17" t="n">
        <f aca="false">SUMIFS(Dados!$G$2:$G$321,Dados!$D$2:$D$321,A11)</f>
        <v>68121.68</v>
      </c>
    </row>
    <row r="12" customFormat="false" ht="15" hidden="false" customHeight="false" outlineLevel="0" collapsed="false">
      <c r="A12" s="0" t="s">
        <v>38</v>
      </c>
      <c r="B12" s="17" t="n">
        <f aca="false">SUMIFS(Dados!$G$2:$G$321,Dados!$D$2:$D$321,A12)</f>
        <v>35378.27</v>
      </c>
    </row>
    <row r="13" customFormat="false" ht="15" hidden="false" customHeight="false" outlineLevel="0" collapsed="false">
      <c r="A13" s="0" t="s">
        <v>24</v>
      </c>
      <c r="B13" s="17" t="n">
        <f aca="false">SUMIFS(Dados!$G$2:$G$321,Dados!$D$2:$D$321,A13)</f>
        <v>14168.7</v>
      </c>
    </row>
    <row r="15" customFormat="false" ht="15" hidden="false" customHeight="false" outlineLevel="0" collapsed="false">
      <c r="A15" s="15" t="s">
        <v>45</v>
      </c>
    </row>
    <row r="16" customFormat="false" ht="15" hidden="false" customHeight="false" outlineLevel="0" collapsed="false">
      <c r="A16" s="16" t="s">
        <v>18</v>
      </c>
      <c r="B16" s="16" t="s">
        <v>17</v>
      </c>
    </row>
    <row r="17" customFormat="false" ht="15" hidden="false" customHeight="false" outlineLevel="0" collapsed="false">
      <c r="A17" s="0" t="s">
        <v>46</v>
      </c>
      <c r="B17" s="17" t="n">
        <f aca="false">SUMIFS(Dados!$G$2:$G$321,Dados!$H$2:$H$321,1)</f>
        <v>36273.85</v>
      </c>
    </row>
    <row r="18" customFormat="false" ht="15" hidden="false" customHeight="false" outlineLevel="0" collapsed="false">
      <c r="A18" s="0" t="s">
        <v>47</v>
      </c>
      <c r="B18" s="17" t="n">
        <f aca="false">SUMIFS(Dados!$G$2:$G$321,Dados!$H$2:$H$321,2)</f>
        <v>27827.05</v>
      </c>
    </row>
    <row r="19" customFormat="false" ht="15" hidden="false" customHeight="false" outlineLevel="0" collapsed="false">
      <c r="A19" s="0" t="s">
        <v>48</v>
      </c>
      <c r="B19" s="17" t="n">
        <f aca="false">SUMIFS(Dados!$G$2:$G$321,Dados!$H$2:$H$321,3)</f>
        <v>21165.21</v>
      </c>
    </row>
    <row r="20" customFormat="false" ht="15" hidden="false" customHeight="false" outlineLevel="0" collapsed="false">
      <c r="A20" s="0" t="s">
        <v>49</v>
      </c>
      <c r="B20" s="17" t="n">
        <f aca="false">SUMIFS(Dados!$G$2:$G$321,Dados!$H$2:$H$321,4)</f>
        <v>13420.41</v>
      </c>
    </row>
    <row r="21" customFormat="false" ht="15" hidden="false" customHeight="false" outlineLevel="0" collapsed="false">
      <c r="A21" s="0" t="s">
        <v>50</v>
      </c>
      <c r="B21" s="17" t="n">
        <f aca="false">SUMIFS(Dados!$G$2:$G$321,Dados!$H$2:$H$321,5)</f>
        <v>34717.33</v>
      </c>
    </row>
    <row r="22" customFormat="false" ht="15" hidden="false" customHeight="false" outlineLevel="0" collapsed="false">
      <c r="A22" s="0" t="s">
        <v>51</v>
      </c>
      <c r="B22" s="17" t="n">
        <f aca="false">SUMIFS(Dados!$G$2:$G$321,Dados!$H$2:$H$321,6)</f>
        <v>21761</v>
      </c>
    </row>
    <row r="23" customFormat="false" ht="15" hidden="false" customHeight="false" outlineLevel="0" collapsed="false">
      <c r="A23" s="0" t="s">
        <v>52</v>
      </c>
      <c r="B23" s="17" t="n">
        <f aca="false">SUMIFS(Dados!$G$2:$G$321,Dados!$H$2:$H$321,7)</f>
        <v>19973.95</v>
      </c>
    </row>
    <row r="24" customFormat="false" ht="15" hidden="false" customHeight="false" outlineLevel="0" collapsed="false">
      <c r="A24" s="0" t="s">
        <v>53</v>
      </c>
      <c r="B24" s="17" t="n">
        <f aca="false">SUMIFS(Dados!$G$2:$G$321,Dados!$H$2:$H$321,8)</f>
        <v>33805.36</v>
      </c>
    </row>
    <row r="25" customFormat="false" ht="15" hidden="false" customHeight="false" outlineLevel="0" collapsed="false">
      <c r="A25" s="0" t="s">
        <v>54</v>
      </c>
      <c r="B25" s="17" t="n">
        <f aca="false">SUMIFS(Dados!$G$2:$G$321,Dados!$H$2:$H$321,9)</f>
        <v>17115.95</v>
      </c>
    </row>
    <row r="26" customFormat="false" ht="15" hidden="false" customHeight="false" outlineLevel="0" collapsed="false">
      <c r="A26" s="0" t="s">
        <v>55</v>
      </c>
      <c r="B26" s="17" t="n">
        <f aca="false">SUMIFS(Dados!$G$2:$G$321,Dados!$H$2:$H$321,10)</f>
        <v>31297.82</v>
      </c>
    </row>
    <row r="27" customFormat="false" ht="15" hidden="false" customHeight="false" outlineLevel="0" collapsed="false">
      <c r="A27" s="0" t="s">
        <v>56</v>
      </c>
      <c r="B27" s="17" t="n">
        <f aca="false">SUMIFS(Dados!$G$2:$G$321,Dados!$H$2:$H$321,11)</f>
        <v>37474.78</v>
      </c>
    </row>
    <row r="28" customFormat="false" ht="15" hidden="false" customHeight="false" outlineLevel="0" collapsed="false">
      <c r="A28" s="0" t="s">
        <v>57</v>
      </c>
      <c r="B28" s="17" t="n">
        <f aca="false">SUMIFS(Dados!$G$2:$G$321,Dados!$H$2:$H$321,12)</f>
        <v>30098.22</v>
      </c>
    </row>
    <row r="30" customFormat="false" ht="15" hidden="false" customHeight="false" outlineLevel="0" collapsed="false">
      <c r="A30" s="15" t="s">
        <v>58</v>
      </c>
    </row>
    <row r="31" customFormat="false" ht="15" hidden="false" customHeight="false" outlineLevel="0" collapsed="false">
      <c r="A31" s="16" t="s">
        <v>13</v>
      </c>
      <c r="B31" s="16" t="s">
        <v>15</v>
      </c>
    </row>
    <row r="32" customFormat="false" ht="15" hidden="false" customHeight="false" outlineLevel="0" collapsed="false">
      <c r="A32" s="0" t="s">
        <v>40</v>
      </c>
      <c r="B32" s="0" t="n">
        <f aca="false">SUMIFS(Dados!$E$2:$E$321,Dados!$C$2:$C$321,A32)</f>
        <v>55</v>
      </c>
    </row>
    <row r="33" customFormat="false" ht="15" hidden="false" customHeight="false" outlineLevel="0" collapsed="false">
      <c r="A33" s="0" t="s">
        <v>29</v>
      </c>
      <c r="B33" s="0" t="n">
        <f aca="false">SUMIFS(Dados!$E$2:$E$321,Dados!$C$2:$C$321,A33)</f>
        <v>51</v>
      </c>
    </row>
    <row r="34" customFormat="false" ht="15" hidden="false" customHeight="false" outlineLevel="0" collapsed="false">
      <c r="A34" s="0" t="s">
        <v>31</v>
      </c>
      <c r="B34" s="0" t="n">
        <f aca="false">SUMIFS(Dados!$E$2:$E$321,Dados!$C$2:$C$321,A34)</f>
        <v>48</v>
      </c>
    </row>
    <row r="35" customFormat="false" ht="15" hidden="false" customHeight="false" outlineLevel="0" collapsed="false">
      <c r="A35" s="0" t="s">
        <v>28</v>
      </c>
      <c r="B35" s="0" t="n">
        <f aca="false">SUMIFS(Dados!$E$2:$E$321,Dados!$C$2:$C$321,A35)</f>
        <v>47</v>
      </c>
    </row>
    <row r="36" customFormat="false" ht="15" hidden="false" customHeight="false" outlineLevel="0" collapsed="false">
      <c r="A36" s="0" t="s">
        <v>30</v>
      </c>
      <c r="B36" s="0" t="n">
        <f aca="false">SUMIFS(Dados!$E$2:$E$321,Dados!$C$2:$C$321,A36)</f>
        <v>43</v>
      </c>
    </row>
    <row r="37" customFormat="false" ht="15" hidden="false" customHeight="false" outlineLevel="0" collapsed="false">
      <c r="A37" s="0" t="s">
        <v>20</v>
      </c>
      <c r="B37" s="0" t="n">
        <f aca="false">SUMIFS(Dados!$E$2:$E$321,Dados!$C$2:$C$321,A37)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2026-09-25T17:16:19Z</dcterms:created>
  <dc:creator>openpyxl</dc:creator>
  <dc:description/>
  <dc:language>en-US</dc:language>
  <cp:lastModifiedBy/>
  <dcterms:modified xsi:type="dcterms:W3CDTF">2026-09-25T17:16:21Z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